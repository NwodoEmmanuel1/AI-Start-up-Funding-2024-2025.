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 probook\OneDrive\Documents\"/>
    </mc:Choice>
  </mc:AlternateContent>
  <xr:revisionPtr revIDLastSave="0" documentId="8_{213D75DD-F3B8-4D48-B51B-37C381AC36F5}" xr6:coauthVersionLast="47" xr6:coauthVersionMax="47" xr10:uidLastSave="{00000000-0000-0000-0000-000000000000}"/>
  <bookViews>
    <workbookView xWindow="-120" yWindow="-120" windowWidth="20730" windowHeight="11040" firstSheet="1" activeTab="4" xr2:uid="{29134006-756E-44F7-9EE0-B8C933542834}"/>
  </bookViews>
  <sheets>
    <sheet name="Table_per year funding" sheetId="3" r:id="rId1"/>
    <sheet name="Table_total funding received C." sheetId="5" r:id="rId2"/>
    <sheet name="HeadQ" sheetId="7" r:id="rId3"/>
    <sheet name="Analysized_Table" sheetId="2" r:id="rId4"/>
    <sheet name="Chart" sheetId="9" r:id="rId5"/>
    <sheet name="Sheet1" sheetId="10" r:id="rId6"/>
    <sheet name="ai_startup_funding_database_201" sheetId="1" r:id="rId7"/>
  </sheets>
  <definedNames>
    <definedName name="ExternalData_1" localSheetId="3" hidden="1">Analysized_Table!$A$1:$U$39</definedName>
    <definedName name="Slicer_Deal_size_tier">#N/A</definedName>
    <definedName name="Slicer_Headquaters">#N/A</definedName>
    <definedName name="Slicer_Type">#N/A</definedName>
    <definedName name="Slicer_USA_company">#N/A</definedName>
  </definedNames>
  <calcPr calcId="191028"/>
  <pivotCaches>
    <pivotCache cacheId="0" r:id="rId8"/>
    <pivotCache cacheId="1"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3" l="1"/>
  <c r="D33" i="3"/>
  <c r="E33" i="3"/>
  <c r="F33" i="3"/>
  <c r="G33" i="3"/>
  <c r="H33" i="3"/>
  <c r="I33" i="3"/>
  <c r="J33" i="3"/>
  <c r="B33" i="3"/>
  <c r="P1" i="9"/>
  <c r="D40" i="2"/>
  <c r="M40" i="2"/>
  <c r="L4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3A6EB-469A-4B87-ABC6-C28E034C761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<sst xmlns="http://schemas.openxmlformats.org/spreadsheetml/2006/main" count="1132" uniqueCount="333">
  <si>
    <t>Company</t>
  </si>
  <si>
    <t>Deal date</t>
  </si>
  <si>
    <t>Round type</t>
  </si>
  <si>
    <t xml:space="preserve">Amount (millions) </t>
  </si>
  <si>
    <t>Lead_investors</t>
  </si>
  <si>
    <t>Other_investors</t>
  </si>
  <si>
    <t>Sector</t>
  </si>
  <si>
    <t>subsector</t>
  </si>
  <si>
    <t>Year_founded</t>
  </si>
  <si>
    <t>Ceo</t>
  </si>
  <si>
    <t>No. of employees_approx</t>
  </si>
  <si>
    <t>Annual_revenue (millions)</t>
  </si>
  <si>
    <t>Ipo_status</t>
  </si>
  <si>
    <t>Key_products</t>
  </si>
  <si>
    <t>Open_source</t>
  </si>
  <si>
    <t>Source</t>
  </si>
  <si>
    <t>Year</t>
  </si>
  <si>
    <t>Deal_size_tier</t>
  </si>
  <si>
    <t>USA company</t>
  </si>
  <si>
    <t>Type</t>
  </si>
  <si>
    <t>DeepMind</t>
  </si>
  <si>
    <t>Acquisition</t>
  </si>
  <si>
    <t>Google (acquirer)</t>
  </si>
  <si>
    <t>N/A</t>
  </si>
  <si>
    <t>Foundation Model / Research</t>
  </si>
  <si>
    <t>AI Research Lab</t>
  </si>
  <si>
    <t>United Kingdom</t>
  </si>
  <si>
    <t>Demis Hassabis</t>
  </si>
  <si>
    <t>Acquired by Google</t>
  </si>
  <si>
    <t>AlphaFold, Gemini, AlphaGo</t>
  </si>
  <si>
    <t>The Information, Google</t>
  </si>
  <si>
    <t>Large ($500M+)</t>
  </si>
  <si>
    <t>OpenAI</t>
  </si>
  <si>
    <t>Strategic Investment</t>
  </si>
  <si>
    <t>Microsoft</t>
  </si>
  <si>
    <t>None disclosed</t>
  </si>
  <si>
    <t>Foundation Model / LLM</t>
  </si>
  <si>
    <t>General-Purpose AI</t>
  </si>
  <si>
    <t>United States</t>
  </si>
  <si>
    <t>Sam Altman</t>
  </si>
  <si>
    <t>Private</t>
  </si>
  <si>
    <t>GPT-2, OpenAI Five</t>
  </si>
  <si>
    <t>Microsoft blog</t>
  </si>
  <si>
    <t>Unicorn ($1B+)</t>
  </si>
  <si>
    <t>Palantir</t>
  </si>
  <si>
    <t>Direct Listing</t>
  </si>
  <si>
    <t>Public Market (NYSE)</t>
  </si>
  <si>
    <t>AI Application</t>
  </si>
  <si>
    <t>Data Analytics / Defense AI</t>
  </si>
  <si>
    <t>Alex Karp</t>
  </si>
  <si>
    <t>Public (NYSE: PLTR)</t>
  </si>
  <si>
    <t>Foundry, Gotham, AIP</t>
  </si>
  <si>
    <t>SEC filing</t>
  </si>
  <si>
    <t>Early (&lt;$100M)</t>
  </si>
  <si>
    <t>UiPath</t>
  </si>
  <si>
    <t>IPO</t>
  </si>
  <si>
    <t>Morgan Stanley, JPMorgan, BofA</t>
  </si>
  <si>
    <t>Robotic Process Automation</t>
  </si>
  <si>
    <t>Daniel Dines</t>
  </si>
  <si>
    <t>Public (NYSE: PATH)</t>
  </si>
  <si>
    <t>UiPath Platform, AI Center</t>
  </si>
  <si>
    <t>SEC S-1 filing</t>
  </si>
  <si>
    <t>SenseTime</t>
  </si>
  <si>
    <t>Public Market (HKEX)</t>
  </si>
  <si>
    <t>Cornerstone: CITIC, CICC, HAO Capital</t>
  </si>
  <si>
    <t>Computer Vision / Smart City</t>
  </si>
  <si>
    <t>China</t>
  </si>
  <si>
    <t>Xu Li</t>
  </si>
  <si>
    <t>Public (HKEX: 0020)</t>
  </si>
  <si>
    <t>SenseCore, facial recognition, autonomous driving</t>
  </si>
  <si>
    <t>HKEX filings</t>
  </si>
  <si>
    <t>Series D</t>
  </si>
  <si>
    <t>Tiger Global, a16z</t>
  </si>
  <si>
    <t>Sequoia Capital, Bedrock</t>
  </si>
  <si>
    <t>GPT-3, DALL-E 2, Codex</t>
  </si>
  <si>
    <t>WSJ, PitchBook</t>
  </si>
  <si>
    <t>Growth ($100M+)</t>
  </si>
  <si>
    <t>Adept AI</t>
  </si>
  <si>
    <t>Series A</t>
  </si>
  <si>
    <t>Greylock Partners</t>
  </si>
  <si>
    <t>Addition, Atlassian Ventures</t>
  </si>
  <si>
    <t>AI Agent / Action Models</t>
  </si>
  <si>
    <t>David Luan</t>
  </si>
  <si>
    <t>Acqui-hired by Amazon 2024</t>
  </si>
  <si>
    <t>ACT-1 action model</t>
  </si>
  <si>
    <t>TechCrunch, The Information</t>
  </si>
  <si>
    <t>Stability AI</t>
  </si>
  <si>
    <t>Seed</t>
  </si>
  <si>
    <t>Lightspeed, Coatue</t>
  </si>
  <si>
    <t>O'Shaughnessy Ventures</t>
  </si>
  <si>
    <t>Foundation Model / Image Gen</t>
  </si>
  <si>
    <t>Image Generation</t>
  </si>
  <si>
    <t>Emad Mostaque (resigned 2024)</t>
  </si>
  <si>
    <t>Private (struggling)</t>
  </si>
  <si>
    <t>Stable Diffusion</t>
  </si>
  <si>
    <t>Bloomberg, TechCrunch</t>
  </si>
  <si>
    <t>ChatGPT, GPT-4, DALL-E 2</t>
  </si>
  <si>
    <t>Microsoft blog, WSJ</t>
  </si>
  <si>
    <t>Mega ($10B+)</t>
  </si>
  <si>
    <t>Cohere</t>
  </si>
  <si>
    <t>Series C</t>
  </si>
  <si>
    <t>Inovia Capital</t>
  </si>
  <si>
    <t>Nvidia, Oracle, Salesforce Ventures, Index Ventures</t>
  </si>
  <si>
    <t>Enterprise AI</t>
  </si>
  <si>
    <t>Canada</t>
  </si>
  <si>
    <t>Aidan Gomez</t>
  </si>
  <si>
    <t>Command, Embed, Rerank</t>
  </si>
  <si>
    <t>TechCrunch</t>
  </si>
  <si>
    <t>Inflection AI</t>
  </si>
  <si>
    <t>Series B</t>
  </si>
  <si>
    <t>Microsoft, Nvidia, Reid Hoffman</t>
  </si>
  <si>
    <t>Bill Gates, Eric Schmidt, Greylock</t>
  </si>
  <si>
    <t>Personal AI Assistant</t>
  </si>
  <si>
    <t>Mustafa Suleyman (left for Microsoft)</t>
  </si>
  <si>
    <t>Effectively Acquired by Microsoft</t>
  </si>
  <si>
    <t>Pi personal AI (wound down)</t>
  </si>
  <si>
    <t>NYT, Bloomberg</t>
  </si>
  <si>
    <t>Hugging Face</t>
  </si>
  <si>
    <t>Google, Amazon, Nvidia</t>
  </si>
  <si>
    <t>Salesforce, AMD, Intel, IBM, Qualcomm</t>
  </si>
  <si>
    <t>AI Infrastructure</t>
  </si>
  <si>
    <t>Open Source AI Platform</t>
  </si>
  <si>
    <t>Clem Delangue</t>
  </si>
  <si>
    <t>Hugging Face Hub, Transformers, Inference API</t>
  </si>
  <si>
    <t>TechCrunch, Hugging Face blog</t>
  </si>
  <si>
    <t>Anthropic</t>
  </si>
  <si>
    <t>Amazon</t>
  </si>
  <si>
    <t>AI Safety Research</t>
  </si>
  <si>
    <t>Dario Amodei</t>
  </si>
  <si>
    <t>Claude 2, Claude API</t>
  </si>
  <si>
    <t>Amazon press release, WSJ</t>
  </si>
  <si>
    <t>Figure AI</t>
  </si>
  <si>
    <t>Microsoft, Nvidia, OpenAI Startup Fund</t>
  </si>
  <si>
    <t>Jeff Bezos, Intel, Samsung, Parkway Venture Capital</t>
  </si>
  <si>
    <t>Humanoid Robotics</t>
  </si>
  <si>
    <t>Brett Adcock</t>
  </si>
  <si>
    <t>Figure 01, Figure 02 humanoid robots</t>
  </si>
  <si>
    <t>Menlo Ventures</t>
  </si>
  <si>
    <t>Google, Spark Capital, Salesforce Ventures</t>
  </si>
  <si>
    <t>Claude 3, Claude API</t>
  </si>
  <si>
    <t>TechCrunch, SEC filing</t>
  </si>
  <si>
    <t>Wayve</t>
  </si>
  <si>
    <t>SoftBank Vision Fund</t>
  </si>
  <si>
    <t>Nvidia, Microsoft, Eclipse Ventures</t>
  </si>
  <si>
    <t>Autonomous Driving</t>
  </si>
  <si>
    <t>Alex Kendall</t>
  </si>
  <si>
    <t>LINGO-2, AI driving platform</t>
  </si>
  <si>
    <t>TechCrunch, Financial Times</t>
  </si>
  <si>
    <t>Mistral AI</t>
  </si>
  <si>
    <t>General Catalyst</t>
  </si>
  <si>
    <t>a16z, Lightspeed, BNP Paribas, Samsung</t>
  </si>
  <si>
    <t>Open-Weight AI Models</t>
  </si>
  <si>
    <t>France</t>
  </si>
  <si>
    <t>Arthur Mensch</t>
  </si>
  <si>
    <t>Mistral Large, Mixtral, Le Chat</t>
  </si>
  <si>
    <t>TechCrunch, Les Echos</t>
  </si>
  <si>
    <t>Databricks</t>
  </si>
  <si>
    <t>Series I</t>
  </si>
  <si>
    <t>Thrive Capital</t>
  </si>
  <si>
    <t>a16z, DST Global, GIC, Iconiq</t>
  </si>
  <si>
    <t>Data Platform / ML Infrastructure</t>
  </si>
  <si>
    <t>Ali Ghodsi</t>
  </si>
  <si>
    <t>Databricks Lakehouse, Mosaic ML</t>
  </si>
  <si>
    <t>Bloomberg</t>
  </si>
  <si>
    <t>Series E</t>
  </si>
  <si>
    <t>Microsoft, Nvidia, SoftBank, Khosla Ventures, Tiger Global</t>
  </si>
  <si>
    <t>ChatGPT, GPT-4, DALL-E 3, Sora</t>
  </si>
  <si>
    <t>SEC filing, TechCrunch</t>
  </si>
  <si>
    <t>CoreWeave</t>
  </si>
  <si>
    <t>Jane Street Capital</t>
  </si>
  <si>
    <t>Fidelity, Coatue, Magnetar</t>
  </si>
  <si>
    <t>GPU Cloud Computing</t>
  </si>
  <si>
    <t>Michael Intrator</t>
  </si>
  <si>
    <t>IPO March 2025 (CRWV)</t>
  </si>
  <si>
    <t>GPU cloud, AI training clusters</t>
  </si>
  <si>
    <t>Bloomberg, Crunchbase</t>
  </si>
  <si>
    <t>xAI</t>
  </si>
  <si>
    <t>Various (undisclosed)</t>
  </si>
  <si>
    <t>Nvidia, A-Cap, Valor Equity Partners</t>
  </si>
  <si>
    <t>Elon Musk</t>
  </si>
  <si>
    <t>Grok 2, Colossus</t>
  </si>
  <si>
    <t>Bloomberg, SEC filing</t>
  </si>
  <si>
    <t>General Catalyst, Bpifrance</t>
  </si>
  <si>
    <t>a16z, Lightspeed, Samsung, IBM</t>
  </si>
  <si>
    <t>Mistral Large 2, Codestral, Le Chat</t>
  </si>
  <si>
    <t>Lambda</t>
  </si>
  <si>
    <t>SGW, Andra Capital</t>
  </si>
  <si>
    <t>Nvidia, G Squared, ARK Invest</t>
  </si>
  <si>
    <t>Stephen Balaban</t>
  </si>
  <si>
    <t>Lambda Cloud, GPU clusters</t>
  </si>
  <si>
    <t>Together AI</t>
  </si>
  <si>
    <t>Prosperity7, General Catalyst</t>
  </si>
  <si>
    <t>Salesforce Ventures, Nvidia, Lux Capital</t>
  </si>
  <si>
    <t>Vipul Ved Prakash</t>
  </si>
  <si>
    <t>Together Inference, Together Fine-Tuning</t>
  </si>
  <si>
    <t>Series E Extension</t>
  </si>
  <si>
    <t>Lightspeed Venture Partners</t>
  </si>
  <si>
    <t>Salesforce Ventures, Menlo Ventures, General Catalyst</t>
  </si>
  <si>
    <t>Claude, Claude API</t>
  </si>
  <si>
    <t>Safe Superintelligence (SSI)</t>
  </si>
  <si>
    <t>Greenoaks Capital Partners</t>
  </si>
  <si>
    <t>a16z, Sequoia, DST Global</t>
  </si>
  <si>
    <t>Ilya Sutskever</t>
  </si>
  <si>
    <t>Safe superintelligence (stealth)</t>
  </si>
  <si>
    <t>Series F</t>
  </si>
  <si>
    <t>SoftBank</t>
  </si>
  <si>
    <t>Microsoft, Coatue, Thrive Capital</t>
  </si>
  <si>
    <t>Private (IPO rumored)</t>
  </si>
  <si>
    <t>ChatGPT, GPT-4o, DALL-E, Sora</t>
  </si>
  <si>
    <t>CNBC, Reuters, Crunchbase</t>
  </si>
  <si>
    <t>Perplexity AI</t>
  </si>
  <si>
    <t>Accel</t>
  </si>
  <si>
    <t>IVP, Nvidia, Bezos Expeditions</t>
  </si>
  <si>
    <t>AI Search Engine</t>
  </si>
  <si>
    <t>Aravind Srinivas</t>
  </si>
  <si>
    <t>Perplexity Search, Perplexity Pro</t>
  </si>
  <si>
    <t>Forbes, TechCrunch</t>
  </si>
  <si>
    <t>Ambience Healthcare</t>
  </si>
  <si>
    <t>Oak HC/FT, a16z</t>
  </si>
  <si>
    <t>Kleiner Perkins, OpenAI Startup Fund</t>
  </si>
  <si>
    <t>Healthcare AI</t>
  </si>
  <si>
    <t>Mike Ng</t>
  </si>
  <si>
    <t>AI medical documentation, clinical AI OS</t>
  </si>
  <si>
    <t>Scale AI</t>
  </si>
  <si>
    <t>Meta (49% stake)</t>
  </si>
  <si>
    <t>Data Labeling / Training Data</t>
  </si>
  <si>
    <t>Alexandr Wang (moved to Meta)</t>
  </si>
  <si>
    <t>Data labeling, RLHF, AI infrastructure</t>
  </si>
  <si>
    <t>Valor Capital, Qatar Investment Authority</t>
  </si>
  <si>
    <t>Kingdom Holding (Prince Al Waleed), Nvidia</t>
  </si>
  <si>
    <t>Grok, Grok 4, Colossus supercomputer</t>
  </si>
  <si>
    <t>Bloomberg (Musk disputes figures)</t>
  </si>
  <si>
    <t>Thinking Machines Lab</t>
  </si>
  <si>
    <t>Andreessen Horowitz</t>
  </si>
  <si>
    <t>Nvidia, Accel, AMD, Cisco</t>
  </si>
  <si>
    <t>AI Research</t>
  </si>
  <si>
    <t>Mira Murati</t>
  </si>
  <si>
    <t>Foundation models (stealth)</t>
  </si>
  <si>
    <t>Crunchbase, TechCrunch</t>
  </si>
  <si>
    <t>Infinite Reality</t>
  </si>
  <si>
    <t>Growth Equity</t>
  </si>
  <si>
    <t>Private investor (undisclosed)</t>
  </si>
  <si>
    <t>XR / Immersive AI</t>
  </si>
  <si>
    <t>Amish Shah</t>
  </si>
  <si>
    <t>XR, immersive commerce, AI media</t>
  </si>
  <si>
    <t>Crunchbase</t>
  </si>
  <si>
    <t>Anduril Industries</t>
  </si>
  <si>
    <t>Founders Fund</t>
  </si>
  <si>
    <t>a16z, 8VC, General Catalyst, Lux Capital</t>
  </si>
  <si>
    <t>Defense AI</t>
  </si>
  <si>
    <t>Palmer Luckey</t>
  </si>
  <si>
    <t>Lattice, Ghost, ALTIUS, Menace</t>
  </si>
  <si>
    <t>TechCrunch, Reuters</t>
  </si>
  <si>
    <t>Iconiq Capital, Fidelity, Lightspeed</t>
  </si>
  <si>
    <t>BlackRock, Blackstone, Coatue, Qatar Investment Authority</t>
  </si>
  <si>
    <t>Claude, Claude API, Constitutional AI</t>
  </si>
  <si>
    <t>TechCrunch, Crunchbase</t>
  </si>
  <si>
    <t>Project Prometheus</t>
  </si>
  <si>
    <t>Seed / Launch</t>
  </si>
  <si>
    <t>Undisclosed</t>
  </si>
  <si>
    <t>Jeff Bezos (co-CEO)</t>
  </si>
  <si>
    <t>AI for Physical World</t>
  </si>
  <si>
    <t>Engineering / Manufacturing AI</t>
  </si>
  <si>
    <t>Jeff Bezos, Vik Bajaj</t>
  </si>
  <si>
    <t>AI for physical economy</t>
  </si>
  <si>
    <t>Anysphere (Cursor)</t>
  </si>
  <si>
    <t>Accel, Coatue</t>
  </si>
  <si>
    <t>Thrive Capital, DST Global, Google, Nvidia</t>
  </si>
  <si>
    <t>AI Coding Assistant</t>
  </si>
  <si>
    <t>Michael Truell</t>
  </si>
  <si>
    <t>Cursor AI IDE</t>
  </si>
  <si>
    <t>TechCrunch, Bloomberg</t>
  </si>
  <si>
    <t>Series J</t>
  </si>
  <si>
    <t>a16z, DST Global, Insight Partners</t>
  </si>
  <si>
    <t>Private (IPO expected 2026)</t>
  </si>
  <si>
    <t>Databricks Lakehouse, Mosaic ML, Unity Catalog</t>
  </si>
  <si>
    <t>company</t>
  </si>
  <si>
    <t>deal_date</t>
  </si>
  <si>
    <t>round_type</t>
  </si>
  <si>
    <t>amount_usd_millions</t>
  </si>
  <si>
    <t>pre_money_valuation_millions</t>
  </si>
  <si>
    <t>post_money_valuation_millions</t>
  </si>
  <si>
    <t>lead_investors</t>
  </si>
  <si>
    <t>other_investors</t>
  </si>
  <si>
    <t>sector</t>
  </si>
  <si>
    <t>hq_city</t>
  </si>
  <si>
    <t>hq_country</t>
  </si>
  <si>
    <t>founded_year</t>
  </si>
  <si>
    <t>ceo</t>
  </si>
  <si>
    <t>employees_approx</t>
  </si>
  <si>
    <t>annual_revenue_millions</t>
  </si>
  <si>
    <t>profitable</t>
  </si>
  <si>
    <t>ipo_status</t>
  </si>
  <si>
    <t>key_products</t>
  </si>
  <si>
    <t>open_source</t>
  </si>
  <si>
    <t>source</t>
  </si>
  <si>
    <t>year</t>
  </si>
  <si>
    <t>quarter</t>
  </si>
  <si>
    <t>month</t>
  </si>
  <si>
    <t>deal_size_tier</t>
  </si>
  <si>
    <t>is_us_company</t>
  </si>
  <si>
    <t>stage_number</t>
  </si>
  <si>
    <t>London</t>
  </si>
  <si>
    <t>San Francisco</t>
  </si>
  <si>
    <t>Denver</t>
  </si>
  <si>
    <t>New York</t>
  </si>
  <si>
    <t>Hong Kong</t>
  </si>
  <si>
    <t>Toronto</t>
  </si>
  <si>
    <t>Palo Alto</t>
  </si>
  <si>
    <t>Sunnyvale</t>
  </si>
  <si>
    <t>Paris</t>
  </si>
  <si>
    <t>Roseland</t>
  </si>
  <si>
    <t>Orlando</t>
  </si>
  <si>
    <t>Costa Mesa</t>
  </si>
  <si>
    <t>Open source</t>
  </si>
  <si>
    <t>Closed source</t>
  </si>
  <si>
    <t>Deepmind</t>
  </si>
  <si>
    <t>-</t>
  </si>
  <si>
    <t>Grand Total</t>
  </si>
  <si>
    <t xml:space="preserve">Sum of Amount (millions) </t>
  </si>
  <si>
    <t>Funding per year</t>
  </si>
  <si>
    <t>Companies</t>
  </si>
  <si>
    <t xml:space="preserve">Fundings received (millions) </t>
  </si>
  <si>
    <t>fundings</t>
  </si>
  <si>
    <t>Headquarters</t>
  </si>
  <si>
    <t xml:space="preserve">Amount_(millions) </t>
  </si>
  <si>
    <t>Sum</t>
  </si>
  <si>
    <t>Total</t>
  </si>
  <si>
    <t>3% (percent) of the total funding between 2014/2025, goes to AI companies with headquarters in  China, Canada United Kingdom and France.</t>
  </si>
  <si>
    <t>97% (percent) of the total funding for AI companies between 2014/2025 goes to AI companies with headquarters in the United States of America.</t>
  </si>
  <si>
    <t>At the top of the list is Open AI, an open source company with a total funding of $57,900.00</t>
  </si>
  <si>
    <t>The top five (5) companies based on amount of fundings received are USA companies, with Open AI alone receiving more funding than AI companies with headquarters in China, Canada, France and the United Kingdom combined.</t>
  </si>
  <si>
    <t>The total funding received by AI companies in these countries is $155,544.00.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</si>
</sst>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_);\(&quot;$&quot;#,##0.00\)"/>
    <numFmt numFmtId="44" formatCode="_(&quot;$&quot;* #,##0.00_);_(&quot;$&quot;* \(#,##0.0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8"/>
      <color theme="5"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horizontal="center"/>
    </xf>
    <xf numFmtId="7" fontId="0" fillId="0" borderId="0" xfId="1" applyNumberFormat="1" applyFont="1" applyAlignment="1">
      <alignment horizontal="center"/>
    </xf>
    <xf numFmtId="7" fontId="0" fillId="0" borderId="0" xfId="0" applyNumberFormat="1"/>
    <xf numFmtId="7" fontId="1" fillId="0" borderId="0" xfId="1" applyNumberFormat="1" applyFont="1" applyAlignment="1">
      <alignment horizontal="center"/>
    </xf>
    <xf numFmtId="0" fontId="0" fillId="0" borderId="0" xfId="0" pivotButton="1"/>
    <xf numFmtId="0" fontId="0" fillId="0" borderId="0" xfId="0" applyAlignment="1">
      <alignment horizontal="left"/>
    </xf>
    <xf numFmtId="7" fontId="0" fillId="0" borderId="0" xfId="0" applyNumberFormat="1" applyAlignment="1">
      <alignment horizontal="right"/>
    </xf>
    <xf numFmtId="0" fontId="0" fillId="0" borderId="0" xfId="0" pivotButton="1" applyAlignment="1">
      <alignment horizontal="center"/>
    </xf>
    <xf numFmtId="0" fontId="0" fillId="0" borderId="0" xfId="0" applyAlignment="1">
      <alignment horizontal="center"/>
    </xf>
    <xf numFmtId="0" fontId="0" fillId="33" borderId="0" xfId="0" applyFill="1"/>
    <xf numFmtId="7" fontId="18" fillId="33" borderId="0" xfId="0" applyNumberFormat="1" applyFont="1" applyFill="1" applyAlignment="1">
      <alignment horizontal="center"/>
    </xf>
    <xf numFmtId="0" fontId="18" fillId="33" borderId="0" xfId="0" applyFont="1" applyFill="1" applyAlignment="1">
      <alignment horizontal="center"/>
    </xf>
    <xf numFmtId="0" fontId="16" fillId="0" borderId="0" xfId="0" applyFont="1" applyAlignment="1">
      <alignment horizontal="left"/>
    </xf>
    <xf numFmtId="7" fontId="16" fillId="0" borderId="0" xfId="0" applyNumberFormat="1" applyFont="1"/>
    <xf numFmtId="0" fontId="0" fillId="0" borderId="0" xfId="0" applyAlignment="1">
      <alignment vertical="center"/>
    </xf>
    <xf numFmtId="0" fontId="0" fillId="34" borderId="0" xfId="0" applyFill="1" applyAlignment="1">
      <alignment vertical="center"/>
    </xf>
    <xf numFmtId="0" fontId="19" fillId="34" borderId="0" xfId="0" applyFont="1" applyFill="1" applyAlignment="1">
      <alignment vertical="center"/>
    </xf>
    <xf numFmtId="0" fontId="16" fillId="0" borderId="0" xfId="0" pivotButton="1" applyFont="1"/>
    <xf numFmtId="0" fontId="16" fillId="0" borderId="0" xfId="0" applyFont="1" applyAlignment="1">
      <alignment horizontal="center"/>
    </xf>
    <xf numFmtId="0" fontId="16"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9">
    <dxf>
      <font>
        <color rgb="FF006100"/>
      </font>
      <fill>
        <patternFill>
          <bgColor rgb="FFC6EFCE"/>
        </patternFill>
      </fill>
    </dxf>
    <dxf>
      <alignment horizontal="center"/>
    </dxf>
    <dxf>
      <alignment horizontal="center"/>
    </dxf>
    <dxf>
      <alignment horizontal="right"/>
    </dxf>
    <dxf>
      <alignment horizontal="center"/>
    </dxf>
    <dxf>
      <alignment horizontal="center"/>
    </dxf>
    <dxf>
      <font>
        <b/>
      </font>
    </dxf>
    <dxf>
      <font>
        <b/>
      </font>
    </dxf>
    <dxf>
      <font>
        <b/>
      </font>
    </dxf>
    <dxf>
      <font>
        <b/>
      </font>
    </dxf>
    <dxf>
      <font>
        <b/>
      </font>
    </dxf>
    <dxf>
      <alignment horizontal="center"/>
    </dxf>
    <dxf>
      <alignment horizontal="center"/>
    </dxf>
    <dxf>
      <alignment horizontal="right"/>
    </dxf>
    <dxf>
      <alignment horizontal="center"/>
    </dxf>
    <dxf>
      <alignment horizontal="center"/>
    </dxf>
    <dxf>
      <font>
        <b/>
      </font>
    </dxf>
    <dxf>
      <font>
        <b/>
      </font>
    </dxf>
    <dxf>
      <font>
        <b/>
      </font>
    </dxf>
    <dxf>
      <font>
        <b/>
      </font>
    </dxf>
    <dxf>
      <font>
        <b/>
      </font>
    </dxf>
    <dxf>
      <alignment horizontal="center"/>
    </dxf>
    <dxf>
      <alignment horizontal="center"/>
    </dxf>
    <dxf>
      <alignment horizontal="right"/>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font>
        <b/>
      </font>
    </dxf>
    <dxf>
      <font>
        <b/>
      </font>
    </dxf>
    <dxf>
      <font>
        <b/>
      </font>
    </dxf>
    <dxf>
      <font>
        <b/>
      </font>
    </dxf>
    <dxf>
      <font>
        <b/>
      </font>
    </dxf>
    <dxf>
      <alignment horizontal="right"/>
    </dxf>
    <dxf>
      <alignment horizontal="center"/>
    </dxf>
    <dxf>
      <alignment horizontal="center"/>
    </dxf>
    <dxf>
      <alignment horizontal="center"/>
    </dxf>
    <dxf>
      <alignment horizontal="center"/>
    </dxf>
    <dxf>
      <font>
        <b/>
      </font>
    </dxf>
    <dxf>
      <font>
        <b/>
      </font>
    </dxf>
    <dxf>
      <font>
        <b/>
      </font>
    </dxf>
    <dxf>
      <font>
        <b/>
      </font>
    </dxf>
    <dxf>
      <font>
        <b/>
      </font>
    </dxf>
    <dxf>
      <alignment horizontal="right"/>
    </dxf>
    <dxf>
      <alignment horizontal="center"/>
    </dxf>
    <dxf>
      <alignment horizontal="center"/>
    </dxf>
    <dxf>
      <alignment horizontal="center"/>
    </dxf>
    <dxf>
      <alignment horizontal="center"/>
    </dxf>
    <dxf>
      <font>
        <b/>
      </font>
    </dxf>
    <dxf>
      <font>
        <b/>
      </font>
    </dxf>
    <dxf>
      <font>
        <b/>
      </font>
    </dxf>
    <dxf>
      <font>
        <b/>
      </font>
    </dxf>
    <dxf>
      <font>
        <b/>
      </font>
    </dxf>
    <dxf>
      <alignment horizontal="right"/>
    </dxf>
    <dxf>
      <alignment horizontal="right"/>
    </dxf>
    <dxf>
      <alignment horizontal="right"/>
    </dxf>
    <dxf>
      <alignment horizontal="right"/>
    </dxf>
    <dxf>
      <font>
        <b/>
      </font>
    </dxf>
    <dxf>
      <font>
        <b/>
      </font>
    </dxf>
    <dxf>
      <font>
        <b/>
      </font>
    </dxf>
    <dxf>
      <font>
        <b/>
      </font>
    </dxf>
    <dxf>
      <font>
        <b/>
      </font>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0.00_);\(&quot;$&quot;#,##0.0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1" formatCode="&quot;$&quot;#,##0.00_);\(&quot;$&quot;#,##0.00\)"/>
      <alignment horizontal="center" vertical="bottom" textRotation="0" wrapText="0" indent="0" justifyLastLine="0" shrinkToFit="0" readingOrder="0"/>
    </dxf>
    <dxf>
      <numFmt numFmtId="0" formatCode="General"/>
    </dxf>
    <dxf>
      <numFmt numFmtId="19" formatCode="m/d/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right"/>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[AI_startup_funding_2014_2025-Table_chart.xlsx]Table_total funding received C.!PivotTable2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'Table_total funding received C.'!$B$3</c:f>
              <c:strCache>
                <c:ptCount val="1"/>
                <c:pt idx="0">
                  <c:v>Total</c:v>
                </c:pt>
              </c:strCache>
            </c:strRef>
          </c:tx>
          <c:spPr>
            <a:solidFill>
              <a:schemeClr val="accent1"/>
            </a:solidFill>
            <a:ln>
              <a:noFill/>
            </a:ln>
            <a:effectLst/>
          </c:spPr>
          <c:invertIfNegative val="0"/>
          <c:cat>
            <c:strRef>
              <c:f>'Table_total funding received C.'!$A$4:$A$32</c:f>
              <c:strCache>
                <c:ptCount val="28"/>
                <c:pt idx="0">
                  <c:v>OpenAI</c:v>
                </c:pt>
                <c:pt idx="1">
                  <c:v>Anthropic</c:v>
                </c:pt>
                <c:pt idx="2">
                  <c:v>xAI</c:v>
                </c:pt>
                <c:pt idx="3">
                  <c:v>Databricks</c:v>
                </c:pt>
                <c:pt idx="4">
                  <c:v>Scale AI</c:v>
                </c:pt>
                <c:pt idx="5">
                  <c:v>Project Prometheus</c:v>
                </c:pt>
                <c:pt idx="6">
                  <c:v>Infinite Reality</c:v>
                </c:pt>
                <c:pt idx="7">
                  <c:v>Mistral AI</c:v>
                </c:pt>
                <c:pt idx="8">
                  <c:v>Anduril Industries</c:v>
                </c:pt>
                <c:pt idx="9">
                  <c:v>Anysphere (Cursor)</c:v>
                </c:pt>
                <c:pt idx="10">
                  <c:v>Thinking Machines Lab</c:v>
                </c:pt>
                <c:pt idx="11">
                  <c:v>Safe Superintelligence (SSI)</c:v>
                </c:pt>
                <c:pt idx="12">
                  <c:v>UiPath</c:v>
                </c:pt>
                <c:pt idx="13">
                  <c:v>Inflection AI</c:v>
                </c:pt>
                <c:pt idx="14">
                  <c:v>Wayve</c:v>
                </c:pt>
                <c:pt idx="15">
                  <c:v>SenseTime</c:v>
                </c:pt>
                <c:pt idx="16">
                  <c:v>Figure AI</c:v>
                </c:pt>
                <c:pt idx="17">
                  <c:v>CoreWeave</c:v>
                </c:pt>
                <c:pt idx="18">
                  <c:v>Deepmind</c:v>
                </c:pt>
                <c:pt idx="19">
                  <c:v>Perplexity AI</c:v>
                </c:pt>
                <c:pt idx="20">
                  <c:v>Lambda</c:v>
                </c:pt>
                <c:pt idx="21">
                  <c:v>Together AI</c:v>
                </c:pt>
                <c:pt idx="22">
                  <c:v>Cohere</c:v>
                </c:pt>
                <c:pt idx="23">
                  <c:v>Ambience Healthcare</c:v>
                </c:pt>
                <c:pt idx="24">
                  <c:v>Hugging Face</c:v>
                </c:pt>
                <c:pt idx="25">
                  <c:v>Stability AI</c:v>
                </c:pt>
                <c:pt idx="26">
                  <c:v>Adept AI</c:v>
                </c:pt>
                <c:pt idx="27">
                  <c:v>Palantir</c:v>
                </c:pt>
              </c:strCache>
            </c:strRef>
          </c:cat>
          <c:val>
            <c:numRef>
              <c:f>'Table_total funding received C.'!$B$4:$B$32</c:f>
              <c:numCache>
                <c:formatCode>"$"#,##0.00_);\("$"#,##0.00\)</c:formatCode>
                <c:ptCount val="28"/>
                <c:pt idx="0">
                  <c:v>57900</c:v>
                </c:pt>
                <c:pt idx="1">
                  <c:v>23250</c:v>
                </c:pt>
                <c:pt idx="2">
                  <c:v>16000</c:v>
                </c:pt>
                <c:pt idx="3">
                  <c:v>15000</c:v>
                </c:pt>
                <c:pt idx="4">
                  <c:v>14300</c:v>
                </c:pt>
                <c:pt idx="5">
                  <c:v>6200</c:v>
                </c:pt>
                <c:pt idx="6">
                  <c:v>3000</c:v>
                </c:pt>
                <c:pt idx="7">
                  <c:v>2640</c:v>
                </c:pt>
                <c:pt idx="8">
                  <c:v>2500</c:v>
                </c:pt>
                <c:pt idx="9">
                  <c:v>2300</c:v>
                </c:pt>
                <c:pt idx="10">
                  <c:v>2000</c:v>
                </c:pt>
                <c:pt idx="11">
                  <c:v>2000</c:v>
                </c:pt>
                <c:pt idx="12">
                  <c:v>1340</c:v>
                </c:pt>
                <c:pt idx="13">
                  <c:v>1300</c:v>
                </c:pt>
                <c:pt idx="14">
                  <c:v>1050</c:v>
                </c:pt>
                <c:pt idx="15">
                  <c:v>740</c:v>
                </c:pt>
                <c:pt idx="16">
                  <c:v>675</c:v>
                </c:pt>
                <c:pt idx="17">
                  <c:v>650</c:v>
                </c:pt>
                <c:pt idx="18">
                  <c:v>500</c:v>
                </c:pt>
                <c:pt idx="19">
                  <c:v>500</c:v>
                </c:pt>
                <c:pt idx="20">
                  <c:v>480</c:v>
                </c:pt>
                <c:pt idx="21">
                  <c:v>305</c:v>
                </c:pt>
                <c:pt idx="22">
                  <c:v>270</c:v>
                </c:pt>
                <c:pt idx="23">
                  <c:v>243</c:v>
                </c:pt>
                <c:pt idx="24">
                  <c:v>235</c:v>
                </c:pt>
                <c:pt idx="25">
                  <c:v>101</c:v>
                </c:pt>
                <c:pt idx="26">
                  <c:v>65</c:v>
                </c:pt>
                <c:pt idx="27">
                  <c:v>0</c:v>
                </c:pt>
              </c:numCache>
            </c:numRef>
          </c:val>
          <c:extLst>
            <c:ext xmlns:c16="http://schemas.microsoft.com/office/drawing/2014/chart" uri="{C3380CC4-5D6E-409C-BE32-E72D297353CC}">
              <c16:uniqueId val="{00000000-508E-430D-AAB6-A87575972268}"/>
            </c:ext>
          </c:extLst>
        </c:ser>
        <c:dLbls>
          <c:showLegendKey val="0"/>
          <c:showVal val="0"/>
          <c:showCatName val="0"/>
          <c:showSerName val="0"/>
          <c:showPercent val="0"/>
          <c:showBubbleSize val="0"/>
        </c:dLbls>
        <c:gapWidth val="219"/>
        <c:overlap val="-27"/>
        <c:axId val="977149375"/>
        <c:axId val="977146975"/>
      </c:barChart>
      <c:catAx>
        <c:axId val="97714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46975"/>
        <c:crosses val="autoZero"/>
        <c:auto val="1"/>
        <c:lblAlgn val="ctr"/>
        <c:lblOffset val="100"/>
        <c:noMultiLvlLbl val="0"/>
      </c:catAx>
      <c:valAx>
        <c:axId val="977146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4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[AI_startup_funding_2014_2025-Table_chart.xlsx]Table_per year funding!PivotTable3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Funding</a:t>
            </a:r>
            <a:r>
              <a:rPr lang="en-US" b="1" baseline="0">
                <a:solidFill>
                  <a:schemeClr val="accent1"/>
                </a:solidFill>
              </a:rPr>
              <a:t> received based on Company Type</a:t>
            </a:r>
            <a:endParaRPr lang="en-US" b="1">
              <a:solidFill>
                <a:schemeClr val="accent1"/>
              </a:solidFill>
            </a:endParaRPr>
          </a:p>
        </c:rich>
      </c:tx>
      <c:layout>
        <c:manualLayout>
          <c:xMode val="edge"/>
          <c:yMode val="edge"/>
          <c:x val="0.17956228607388988"/>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0892388451445"/>
          <c:y val="0.26328484981044037"/>
          <c:w val="0.79600218722659666"/>
          <c:h val="0.52483486439195104"/>
        </c:manualLayout>
      </c:layout>
      <c:barChart>
        <c:barDir val="col"/>
        <c:grouping val="clustered"/>
        <c:varyColors val="0"/>
        <c:ser>
          <c:idx val="0"/>
          <c:order val="0"/>
          <c:tx>
            <c:strRef>
              <c:f>'Table_per year funding'!$O$4</c:f>
              <c:strCache>
                <c:ptCount val="1"/>
                <c:pt idx="0">
                  <c:v>Total</c:v>
                </c:pt>
              </c:strCache>
            </c:strRef>
          </c:tx>
          <c:spPr>
            <a:solidFill>
              <a:schemeClr val="accent1"/>
            </a:solidFill>
            <a:ln>
              <a:noFill/>
            </a:ln>
            <a:effectLst/>
          </c:spPr>
          <c:invertIfNegative val="0"/>
          <c:cat>
            <c:strRef>
              <c:f>'Table_per year funding'!$N$5:$N$7</c:f>
              <c:strCache>
                <c:ptCount val="2"/>
                <c:pt idx="0">
                  <c:v>Closed source</c:v>
                </c:pt>
                <c:pt idx="1">
                  <c:v>Open source</c:v>
                </c:pt>
              </c:strCache>
            </c:strRef>
          </c:cat>
          <c:val>
            <c:numRef>
              <c:f>'Table_per year funding'!$O$5:$O$7</c:f>
              <c:numCache>
                <c:formatCode>"$"#,##0.00_);\("$"#,##0.00\)</c:formatCode>
                <c:ptCount val="2"/>
                <c:pt idx="0">
                  <c:v>119493</c:v>
                </c:pt>
                <c:pt idx="1">
                  <c:v>36051</c:v>
                </c:pt>
              </c:numCache>
            </c:numRef>
          </c:val>
          <c:extLst>
            <c:ext xmlns:c16="http://schemas.microsoft.com/office/drawing/2014/chart" uri="{C3380CC4-5D6E-409C-BE32-E72D297353CC}">
              <c16:uniqueId val="{00000000-41C5-4CE4-8667-6CE381EF4F87}"/>
            </c:ext>
          </c:extLst>
        </c:ser>
        <c:dLbls>
          <c:showLegendKey val="0"/>
          <c:showVal val="0"/>
          <c:showCatName val="0"/>
          <c:showSerName val="0"/>
          <c:showPercent val="0"/>
          <c:showBubbleSize val="0"/>
        </c:dLbls>
        <c:gapWidth val="219"/>
        <c:overlap val="-27"/>
        <c:axId val="437549632"/>
        <c:axId val="437550112"/>
      </c:barChart>
      <c:catAx>
        <c:axId val="4375496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37550112"/>
        <c:crosses val="autoZero"/>
        <c:auto val="1"/>
        <c:lblAlgn val="ctr"/>
        <c:lblOffset val="100"/>
        <c:noMultiLvlLbl val="0"/>
      </c:catAx>
      <c:valAx>
        <c:axId val="437550112"/>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754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[AI_startup_funding_2014_2025-Table_chart.xlsx]HeadQ!PivotTable5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75000"/>
                  </a:schemeClr>
                </a:solidFill>
              </a:rPr>
              <a:t>Headquarters</a:t>
            </a:r>
          </a:p>
        </c:rich>
      </c:tx>
      <c:layout>
        <c:manualLayout>
          <c:xMode val="edge"/>
          <c:yMode val="edge"/>
          <c:x val="0.333326334208224"/>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50"/>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B050"/>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HeadQ!$B$3</c:f>
              <c:strCache>
                <c:ptCount val="1"/>
                <c:pt idx="0">
                  <c:v>Total</c:v>
                </c:pt>
              </c:strCache>
            </c:strRef>
          </c:tx>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39-4970-A915-23E3792A6F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39-4970-A915-23E3792A6F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39-4970-A915-23E3792A6FD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E39-4970-A915-23E3792A6FD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E39-4970-A915-23E3792A6F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HeadQ!$A$4:$A$9</c:f>
              <c:strCache>
                <c:ptCount val="5"/>
                <c:pt idx="0">
                  <c:v>Canada</c:v>
                </c:pt>
                <c:pt idx="1">
                  <c:v>China</c:v>
                </c:pt>
                <c:pt idx="2">
                  <c:v>France</c:v>
                </c:pt>
                <c:pt idx="3">
                  <c:v>United Kingdom</c:v>
                </c:pt>
                <c:pt idx="4">
                  <c:v>United States</c:v>
                </c:pt>
              </c:strCache>
            </c:strRef>
          </c:cat>
          <c:val>
            <c:numRef>
              <c:f>HeadQ!$B$4:$B$9</c:f>
              <c:numCache>
                <c:formatCode>"$"#,##0.00_);\("$"#,##0.00\)</c:formatCode>
                <c:ptCount val="5"/>
                <c:pt idx="0">
                  <c:v>270</c:v>
                </c:pt>
                <c:pt idx="1">
                  <c:v>740</c:v>
                </c:pt>
                <c:pt idx="2">
                  <c:v>2640</c:v>
                </c:pt>
                <c:pt idx="3">
                  <c:v>1651</c:v>
                </c:pt>
                <c:pt idx="4">
                  <c:v>150243</c:v>
                </c:pt>
              </c:numCache>
            </c:numRef>
          </c:val>
          <c:extLst>
            <c:ext xmlns:c16="http://schemas.microsoft.com/office/drawing/2014/chart" uri="{C3380CC4-5D6E-409C-BE32-E72D297353CC}">
              <c16:uniqueId val="{0000000A-4E39-4970-A915-23E3792A6F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Deal size</a:t>
            </a:r>
          </a:p>
        </c:rich>
      </c:tx>
      <c:layout>
        <c:manualLayout>
          <c:xMode val="edge"/>
          <c:yMode val="edge"/>
          <c:x val="0.41166431865919673"/>
          <c:y val="3.01532075932368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cat>
            <c:strLit>
              <c:ptCount val="5"/>
              <c:pt idx="0">
                <c:v>Early (&lt;$100M)</c:v>
              </c:pt>
              <c:pt idx="1">
                <c:v>Growth ($100M+)</c:v>
              </c:pt>
              <c:pt idx="2">
                <c:v>Large ($500M+)</c:v>
              </c:pt>
              <c:pt idx="3">
                <c:v>Mega ($10B+)</c:v>
              </c:pt>
              <c:pt idx="4">
                <c:v>Unicorn ($1B+)</c:v>
              </c:pt>
            </c:strLit>
          </c:cat>
          <c:val>
            <c:numLit>
              <c:formatCode>General</c:formatCode>
              <c:ptCount val="5"/>
              <c:pt idx="0">
                <c:v>65</c:v>
              </c:pt>
              <c:pt idx="1">
                <c:v>1934</c:v>
              </c:pt>
              <c:pt idx="2">
                <c:v>3705</c:v>
              </c:pt>
              <c:pt idx="3">
                <c:v>97300</c:v>
              </c:pt>
              <c:pt idx="4">
                <c:v>52540</c:v>
              </c:pt>
            </c:numLit>
          </c:val>
          <c:extLst>
            <c:ext xmlns:c16="http://schemas.microsoft.com/office/drawing/2014/chart" uri="{C3380CC4-5D6E-409C-BE32-E72D297353CC}">
              <c16:uniqueId val="{00000000-36E9-47CF-949C-69BA9CA4FD36}"/>
            </c:ext>
          </c:extLst>
        </c:ser>
        <c:dLbls>
          <c:showLegendKey val="0"/>
          <c:showVal val="0"/>
          <c:showCatName val="0"/>
          <c:showSerName val="0"/>
          <c:showPercent val="0"/>
          <c:showBubbleSize val="0"/>
        </c:dLbls>
        <c:gapWidth val="269"/>
        <c:overlap val="-20"/>
        <c:axId val="1414757712"/>
        <c:axId val="1414735152"/>
      </c:barChart>
      <c:valAx>
        <c:axId val="14147351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14757712"/>
        <c:crosses val="autoZero"/>
        <c:crossBetween val="between"/>
      </c:valAx>
      <c:catAx>
        <c:axId val="141475771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14735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781049</xdr:colOff>
      <xdr:row>1</xdr:row>
      <xdr:rowOff>285750</xdr:rowOff>
    </xdr:to>
    <xdr:sp macro="" textlink="">
      <xdr:nvSpPr>
        <xdr:cNvPr id="2" name="Rectangle 1">
          <a:extLst>
            <a:ext uri="{FF2B5EF4-FFF2-40B4-BE49-F238E27FC236}">
              <a16:creationId xmlns:a16="http://schemas.microsoft.com/office/drawing/2014/main" id="{EF48542F-CBCB-4F21-7F8D-2681AF50D449}"/>
            </a:ext>
          </a:extLst>
        </xdr:cNvPr>
        <xdr:cNvSpPr/>
      </xdr:nvSpPr>
      <xdr:spPr>
        <a:xfrm>
          <a:off x="0" y="0"/>
          <a:ext cx="8258174" cy="476250"/>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2">
                  <a:lumMod val="60000"/>
                  <a:lumOff val="40000"/>
                </a:schemeClr>
              </a:solidFill>
            </a:rPr>
            <a:t>		</a:t>
          </a:r>
          <a:r>
            <a:rPr lang="en-US" sz="2400" b="1" baseline="0">
              <a:solidFill>
                <a:schemeClr val="accent2">
                  <a:lumMod val="60000"/>
                  <a:lumOff val="40000"/>
                </a:schemeClr>
              </a:solidFill>
            </a:rPr>
            <a:t>     </a:t>
          </a:r>
          <a:r>
            <a:rPr lang="en-US" sz="2400" b="1">
              <a:solidFill>
                <a:schemeClr val="accent2">
                  <a:lumMod val="60000"/>
                  <a:lumOff val="40000"/>
                </a:schemeClr>
              </a:solidFill>
            </a:rPr>
            <a:t>Funding</a:t>
          </a:r>
          <a:r>
            <a:rPr lang="en-US" sz="2400" b="1" baseline="0">
              <a:solidFill>
                <a:schemeClr val="accent2">
                  <a:lumMod val="60000"/>
                  <a:lumOff val="40000"/>
                </a:schemeClr>
              </a:solidFill>
            </a:rPr>
            <a:t> Received Per Year</a:t>
          </a:r>
          <a:endParaRPr lang="en-US" sz="2400" b="1">
            <a:solidFill>
              <a:schemeClr val="accent2">
                <a:lumMod val="60000"/>
                <a:lumOff val="4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9525</xdr:rowOff>
    </xdr:from>
    <xdr:to>
      <xdr:col>2</xdr:col>
      <xdr:colOff>0</xdr:colOff>
      <xdr:row>1</xdr:row>
      <xdr:rowOff>180975</xdr:rowOff>
    </xdr:to>
    <xdr:sp macro="" textlink="">
      <xdr:nvSpPr>
        <xdr:cNvPr id="2" name="Rectangle 1">
          <a:extLst>
            <a:ext uri="{FF2B5EF4-FFF2-40B4-BE49-F238E27FC236}">
              <a16:creationId xmlns:a16="http://schemas.microsoft.com/office/drawing/2014/main" id="{80D25D5A-3BC5-711B-A673-8F1E37874A80}"/>
            </a:ext>
          </a:extLst>
        </xdr:cNvPr>
        <xdr:cNvSpPr/>
      </xdr:nvSpPr>
      <xdr:spPr>
        <a:xfrm>
          <a:off x="9524" y="9525"/>
          <a:ext cx="3533776" cy="36195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accent6">
                  <a:lumMod val="75000"/>
                </a:schemeClr>
              </a:solidFill>
            </a:rPr>
            <a:t> </a:t>
          </a:r>
          <a:r>
            <a:rPr lang="en-US" sz="1600" b="1">
              <a:solidFill>
                <a:schemeClr val="accent6">
                  <a:lumMod val="75000"/>
                </a:schemeClr>
              </a:solidFill>
            </a:rPr>
            <a:t>Total funding</a:t>
          </a:r>
          <a:r>
            <a:rPr lang="en-US" sz="1600" b="1" baseline="0">
              <a:solidFill>
                <a:schemeClr val="accent6">
                  <a:lumMod val="75000"/>
                </a:schemeClr>
              </a:solidFill>
            </a:rPr>
            <a:t> Received Per Company</a:t>
          </a:r>
          <a:endParaRPr lang="en-US" sz="1600" b="1">
            <a:solidFill>
              <a:schemeClr val="accent6">
                <a:lumMod val="7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180975</xdr:rowOff>
    </xdr:from>
    <xdr:to>
      <xdr:col>11</xdr:col>
      <xdr:colOff>116205</xdr:colOff>
      <xdr:row>17</xdr:row>
      <xdr:rowOff>66675</xdr:rowOff>
    </xdr:to>
    <xdr:graphicFrame macro="">
      <xdr:nvGraphicFramePr>
        <xdr:cNvPr id="2" name="Chart 1">
          <a:extLst>
            <a:ext uri="{FF2B5EF4-FFF2-40B4-BE49-F238E27FC236}">
              <a16:creationId xmlns:a16="http://schemas.microsoft.com/office/drawing/2014/main" id="{930BC137-1A18-4E6A-BD9F-E335FF0CE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180974</xdr:rowOff>
    </xdr:from>
    <xdr:to>
      <xdr:col>2</xdr:col>
      <xdr:colOff>390524</xdr:colOff>
      <xdr:row>7</xdr:row>
      <xdr:rowOff>179450</xdr:rowOff>
    </xdr:to>
    <mc:AlternateContent xmlns:mc="http://schemas.openxmlformats.org/markup-compatibility/2006">
      <mc:Choice xmlns:a14="http://schemas.microsoft.com/office/drawing/2010/main" Requires="a14">
        <xdr:graphicFrame macro="">
          <xdr:nvGraphicFramePr>
            <xdr:cNvPr id="3" name="USA company 1">
              <a:extLst>
                <a:ext uri="{FF2B5EF4-FFF2-40B4-BE49-F238E27FC236}">
                  <a16:creationId xmlns:a16="http://schemas.microsoft.com/office/drawing/2014/main" id="{EA5F97CD-D2EE-4BC1-AE8F-F74C299D499A}"/>
                </a:ext>
              </a:extLst>
            </xdr:cNvPr>
            <xdr:cNvGraphicFramePr/>
          </xdr:nvGraphicFramePr>
          <xdr:xfrm>
            <a:off x="0" y="0"/>
            <a:ext cx="0" cy="0"/>
          </xdr:xfrm>
          <a:graphic>
            <a:graphicData uri="http://schemas.microsoft.com/office/drawing/2010/slicer">
              <sle:slicer xmlns:sle="http://schemas.microsoft.com/office/drawing/2010/slicer" name="USA company 1"/>
            </a:graphicData>
          </a:graphic>
        </xdr:graphicFrame>
      </mc:Choice>
      <mc:Fallback>
        <xdr:sp macro="" textlink="">
          <xdr:nvSpPr>
            <xdr:cNvPr id="0" name=""/>
            <xdr:cNvSpPr>
              <a:spLocks noTextEdit="1"/>
            </xdr:cNvSpPr>
          </xdr:nvSpPr>
          <xdr:spPr>
            <a:xfrm>
              <a:off x="0" y="561974"/>
              <a:ext cx="1618191" cy="950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123825</xdr:colOff>
      <xdr:row>3</xdr:row>
      <xdr:rowOff>0</xdr:rowOff>
    </xdr:from>
    <xdr:to>
      <xdr:col>19</xdr:col>
      <xdr:colOff>459105</xdr:colOff>
      <xdr:row>17</xdr:row>
      <xdr:rowOff>76200</xdr:rowOff>
    </xdr:to>
    <xdr:graphicFrame macro="">
      <xdr:nvGraphicFramePr>
        <xdr:cNvPr id="4" name="Chart 3">
          <a:extLst>
            <a:ext uri="{FF2B5EF4-FFF2-40B4-BE49-F238E27FC236}">
              <a16:creationId xmlns:a16="http://schemas.microsoft.com/office/drawing/2014/main" id="{44482FE2-6888-4739-B06C-756869653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19050</xdr:rowOff>
    </xdr:from>
    <xdr:to>
      <xdr:col>2</xdr:col>
      <xdr:colOff>400050</xdr:colOff>
      <xdr:row>13</xdr:row>
      <xdr:rowOff>19050</xdr:rowOff>
    </xdr:to>
    <mc:AlternateContent xmlns:mc="http://schemas.openxmlformats.org/markup-compatibility/2006" xmlns:a14="http://schemas.microsoft.com/office/drawing/2010/main">
      <mc:Choice Requires="a14">
        <xdr:graphicFrame macro="">
          <xdr:nvGraphicFramePr>
            <xdr:cNvPr id="5" name="Type 1">
              <a:extLst>
                <a:ext uri="{FF2B5EF4-FFF2-40B4-BE49-F238E27FC236}">
                  <a16:creationId xmlns:a16="http://schemas.microsoft.com/office/drawing/2014/main" id="{BBAAA4ED-EA66-490C-AF78-51E7F8B34AE0}"/>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0" y="1543050"/>
              <a:ext cx="16192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17</xdr:row>
      <xdr:rowOff>76200</xdr:rowOff>
    </xdr:from>
    <xdr:to>
      <xdr:col>11</xdr:col>
      <xdr:colOff>116205</xdr:colOff>
      <xdr:row>31</xdr:row>
      <xdr:rowOff>152400</xdr:rowOff>
    </xdr:to>
    <xdr:graphicFrame macro="">
      <xdr:nvGraphicFramePr>
        <xdr:cNvPr id="6" name="Chart 5">
          <a:extLst>
            <a:ext uri="{FF2B5EF4-FFF2-40B4-BE49-F238E27FC236}">
              <a16:creationId xmlns:a16="http://schemas.microsoft.com/office/drawing/2014/main" id="{06A630FB-C3ED-484F-AFF1-80F12E2FC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19049</xdr:colOff>
      <xdr:row>13</xdr:row>
      <xdr:rowOff>28574</xdr:rowOff>
    </xdr:from>
    <xdr:to>
      <xdr:col>2</xdr:col>
      <xdr:colOff>390524</xdr:colOff>
      <xdr:row>23</xdr:row>
      <xdr:rowOff>43814</xdr:rowOff>
    </xdr:to>
    <mc:AlternateContent xmlns:mc="http://schemas.openxmlformats.org/markup-compatibility/2006" xmlns:a14="http://schemas.microsoft.com/office/drawing/2010/main">
      <mc:Choice Requires="a14">
        <xdr:graphicFrame macro="">
          <xdr:nvGraphicFramePr>
            <xdr:cNvPr id="7" name="Headquaters 1">
              <a:extLst>
                <a:ext uri="{FF2B5EF4-FFF2-40B4-BE49-F238E27FC236}">
                  <a16:creationId xmlns:a16="http://schemas.microsoft.com/office/drawing/2014/main" id="{378EAA2D-1744-43A9-A1FD-30F61D155631}"/>
                </a:ext>
              </a:extLst>
            </xdr:cNvPr>
            <xdr:cNvGraphicFramePr/>
          </xdr:nvGraphicFramePr>
          <xdr:xfrm>
            <a:off x="0" y="0"/>
            <a:ext cx="0" cy="0"/>
          </xdr:xfrm>
          <a:graphic>
            <a:graphicData uri="http://schemas.microsoft.com/office/drawing/2010/slicer">
              <sle:slicer xmlns:sle="http://schemas.microsoft.com/office/drawing/2010/slicer" name="Headquaters 1"/>
            </a:graphicData>
          </a:graphic>
        </xdr:graphicFrame>
      </mc:Choice>
      <mc:Fallback xmlns="">
        <xdr:sp macro="" textlink="">
          <xdr:nvSpPr>
            <xdr:cNvPr id="0" name=""/>
            <xdr:cNvSpPr>
              <a:spLocks noTextEdit="1"/>
            </xdr:cNvSpPr>
          </xdr:nvSpPr>
          <xdr:spPr>
            <a:xfrm>
              <a:off x="19049" y="2505074"/>
              <a:ext cx="1590675"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23</xdr:row>
      <xdr:rowOff>38101</xdr:rowOff>
    </xdr:from>
    <xdr:to>
      <xdr:col>2</xdr:col>
      <xdr:colOff>381000</xdr:colOff>
      <xdr:row>31</xdr:row>
      <xdr:rowOff>161925</xdr:rowOff>
    </xdr:to>
    <mc:AlternateContent xmlns:mc="http://schemas.openxmlformats.org/markup-compatibility/2006" xmlns:a14="http://schemas.microsoft.com/office/drawing/2010/main">
      <mc:Choice Requires="a14">
        <xdr:graphicFrame macro="">
          <xdr:nvGraphicFramePr>
            <xdr:cNvPr id="8" name="Deal_size_tier 1">
              <a:extLst>
                <a:ext uri="{FF2B5EF4-FFF2-40B4-BE49-F238E27FC236}">
                  <a16:creationId xmlns:a16="http://schemas.microsoft.com/office/drawing/2014/main" id="{D55B9B00-77F0-482C-BACD-9A974A30FB0E}"/>
                </a:ext>
              </a:extLst>
            </xdr:cNvPr>
            <xdr:cNvGraphicFramePr/>
          </xdr:nvGraphicFramePr>
          <xdr:xfrm>
            <a:off x="0" y="0"/>
            <a:ext cx="0" cy="0"/>
          </xdr:xfrm>
          <a:graphic>
            <a:graphicData uri="http://schemas.microsoft.com/office/drawing/2010/slicer">
              <sle:slicer xmlns:sle="http://schemas.microsoft.com/office/drawing/2010/slicer" name="Deal_size_tier 1"/>
            </a:graphicData>
          </a:graphic>
        </xdr:graphicFrame>
      </mc:Choice>
      <mc:Fallback xmlns="">
        <xdr:sp macro="" textlink="">
          <xdr:nvSpPr>
            <xdr:cNvPr id="0" name=""/>
            <xdr:cNvSpPr>
              <a:spLocks noTextEdit="1"/>
            </xdr:cNvSpPr>
          </xdr:nvSpPr>
          <xdr:spPr>
            <a:xfrm>
              <a:off x="9525" y="4419601"/>
              <a:ext cx="1590675"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123825</xdr:colOff>
      <xdr:row>17</xdr:row>
      <xdr:rowOff>76200</xdr:rowOff>
    </xdr:from>
    <xdr:to>
      <xdr:col>19</xdr:col>
      <xdr:colOff>459105</xdr:colOff>
      <xdr:row>31</xdr:row>
      <xdr:rowOff>152400</xdr:rowOff>
    </xdr:to>
    <xdr:graphicFrame macro="">
      <xdr:nvGraphicFramePr>
        <xdr:cNvPr id="9" name="Chart 8">
          <a:extLst>
            <a:ext uri="{FF2B5EF4-FFF2-40B4-BE49-F238E27FC236}">
              <a16:creationId xmlns:a16="http://schemas.microsoft.com/office/drawing/2014/main" id="{641E531D-7143-48D0-A525-7AE904E54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200024</xdr:colOff>
      <xdr:row>0</xdr:row>
      <xdr:rowOff>19050</xdr:rowOff>
    </xdr:from>
    <xdr:to>
      <xdr:col>15</xdr:col>
      <xdr:colOff>228600</xdr:colOff>
      <xdr:row>3</xdr:row>
      <xdr:rowOff>9525</xdr:rowOff>
    </xdr:to>
    <xdr:sp macro="" textlink="">
      <xdr:nvSpPr>
        <xdr:cNvPr id="11" name="Rectangle 10">
          <a:extLst>
            <a:ext uri="{FF2B5EF4-FFF2-40B4-BE49-F238E27FC236}">
              <a16:creationId xmlns:a16="http://schemas.microsoft.com/office/drawing/2014/main" id="{EB306F47-1712-2780-4EA4-61AEF59824EE}"/>
            </a:ext>
          </a:extLst>
        </xdr:cNvPr>
        <xdr:cNvSpPr/>
      </xdr:nvSpPr>
      <xdr:spPr>
        <a:xfrm>
          <a:off x="2638424" y="19050"/>
          <a:ext cx="6762751" cy="561975"/>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171986</xdr:colOff>
      <xdr:row>0</xdr:row>
      <xdr:rowOff>11909</xdr:rowOff>
    </xdr:from>
    <xdr:to>
      <xdr:col>19</xdr:col>
      <xdr:colOff>423333</xdr:colOff>
      <xdr:row>3</xdr:row>
      <xdr:rowOff>1</xdr:rowOff>
    </xdr:to>
    <xdr:sp macro="" textlink="">
      <xdr:nvSpPr>
        <xdr:cNvPr id="14" name="Rectangle 13">
          <a:extLst>
            <a:ext uri="{FF2B5EF4-FFF2-40B4-BE49-F238E27FC236}">
              <a16:creationId xmlns:a16="http://schemas.microsoft.com/office/drawing/2014/main" id="{B7F715C8-6E05-1795-64F1-AE8F7932E53E}"/>
            </a:ext>
          </a:extLst>
        </xdr:cNvPr>
        <xdr:cNvSpPr/>
      </xdr:nvSpPr>
      <xdr:spPr>
        <a:xfrm>
          <a:off x="9400653" y="11909"/>
          <a:ext cx="2706680" cy="5595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0</xdr:col>
      <xdr:colOff>1</xdr:colOff>
      <xdr:row>0</xdr:row>
      <xdr:rowOff>10583</xdr:rowOff>
    </xdr:from>
    <xdr:to>
      <xdr:col>14</xdr:col>
      <xdr:colOff>462494</xdr:colOff>
      <xdr:row>2</xdr:row>
      <xdr:rowOff>182033</xdr:rowOff>
    </xdr:to>
    <xdr:sp macro="" textlink="">
      <xdr:nvSpPr>
        <xdr:cNvPr id="12" name="TextBox 11">
          <a:extLst>
            <a:ext uri="{FF2B5EF4-FFF2-40B4-BE49-F238E27FC236}">
              <a16:creationId xmlns:a16="http://schemas.microsoft.com/office/drawing/2014/main" id="{7FC4D658-29A1-16ED-FA02-9AFEE22C1268}"/>
            </a:ext>
          </a:extLst>
        </xdr:cNvPr>
        <xdr:cNvSpPr txBox="1"/>
      </xdr:nvSpPr>
      <xdr:spPr>
        <a:xfrm>
          <a:off x="1" y="10583"/>
          <a:ext cx="9077326" cy="55245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cap="none" spc="0">
              <a:ln w="0"/>
              <a:solidFill>
                <a:schemeClr val="accent1"/>
              </a:solidFill>
              <a:effectLst>
                <a:outerShdw blurRad="38100" dist="25400" dir="5400000" algn="ctr" rotWithShape="0">
                  <a:srgbClr val="6E747A">
                    <a:alpha val="43000"/>
                  </a:srgbClr>
                </a:outerShdw>
              </a:effectLst>
            </a:rPr>
            <a:t>   		     Artificial</a:t>
          </a:r>
          <a:r>
            <a:rPr lang="en-US" sz="2400" b="0" cap="none" spc="0" baseline="0">
              <a:ln w="0"/>
              <a:solidFill>
                <a:schemeClr val="accent1"/>
              </a:solidFill>
              <a:effectLst>
                <a:outerShdw blurRad="38100" dist="25400" dir="5400000" algn="ctr" rotWithShape="0">
                  <a:srgbClr val="6E747A">
                    <a:alpha val="43000"/>
                  </a:srgbClr>
                </a:outerShdw>
              </a:effectLst>
            </a:rPr>
            <a:t> Intelligence Start-up funding for 2025/2026</a:t>
          </a:r>
          <a:endParaRPr lang="en-US"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15</xdr:col>
      <xdr:colOff>222253</xdr:colOff>
      <xdr:row>0</xdr:row>
      <xdr:rowOff>23813</xdr:rowOff>
    </xdr:from>
    <xdr:to>
      <xdr:col>20</xdr:col>
      <xdr:colOff>1</xdr:colOff>
      <xdr:row>1</xdr:row>
      <xdr:rowOff>130969</xdr:rowOff>
    </xdr:to>
    <xdr:sp macro="" textlink="">
      <xdr:nvSpPr>
        <xdr:cNvPr id="16" name="TextBox 15">
          <a:extLst>
            <a:ext uri="{FF2B5EF4-FFF2-40B4-BE49-F238E27FC236}">
              <a16:creationId xmlns:a16="http://schemas.microsoft.com/office/drawing/2014/main" id="{2208E064-D4CB-6E75-8ABA-472E1BA90B02}"/>
            </a:ext>
          </a:extLst>
        </xdr:cNvPr>
        <xdr:cNvSpPr txBox="1"/>
      </xdr:nvSpPr>
      <xdr:spPr>
        <a:xfrm>
          <a:off x="9450920" y="23813"/>
          <a:ext cx="2719914" cy="29765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6">
                  <a:lumMod val="75000"/>
                </a:schemeClr>
              </a:solidFill>
            </a:rPr>
            <a:t>Total Funding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1</xdr:row>
      <xdr:rowOff>19051</xdr:rowOff>
    </xdr:from>
    <xdr:to>
      <xdr:col>11</xdr:col>
      <xdr:colOff>295275</xdr:colOff>
      <xdr:row>2</xdr:row>
      <xdr:rowOff>171451</xdr:rowOff>
    </xdr:to>
    <xdr:sp macro="" textlink="">
      <xdr:nvSpPr>
        <xdr:cNvPr id="2" name="Rectangle 1">
          <a:extLst>
            <a:ext uri="{FF2B5EF4-FFF2-40B4-BE49-F238E27FC236}">
              <a16:creationId xmlns:a16="http://schemas.microsoft.com/office/drawing/2014/main" id="{9B29FAF5-1AF3-C4B8-1A59-62128301B39F}"/>
            </a:ext>
          </a:extLst>
        </xdr:cNvPr>
        <xdr:cNvSpPr/>
      </xdr:nvSpPr>
      <xdr:spPr>
        <a:xfrm>
          <a:off x="3057525" y="209551"/>
          <a:ext cx="3943350" cy="3429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Summary</a:t>
          </a:r>
          <a:r>
            <a:rPr lang="en-US" sz="1800" baseline="0">
              <a:solidFill>
                <a:schemeClr val="tx1"/>
              </a:solidFill>
            </a:rPr>
            <a:t> </a:t>
          </a:r>
          <a:endParaRPr lang="en-US" sz="18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refreshedDate="46133.013637962962" createdVersion="8" refreshedVersion="8" minRefreshableVersion="3" recordCount="38" xr:uid="{EF3BF141-4EAB-446E-93BA-E204C884F7B7}">
  <cacheSource type="worksheet">
    <worksheetSource name="Table1_1"/>
  </cacheSource>
  <cacheFields count="21">
    <cacheField name="Company" numFmtId="0">
      <sharedItems count="28">
        <s v="Databricks"/>
        <s v="Anysphere (Cursor)"/>
        <s v="Project Prometheus"/>
        <s v="Anthropic"/>
        <s v="Anduril Industries"/>
        <s v="Infinite Reality"/>
        <s v="xAI"/>
        <s v="Thinking Machines Lab"/>
        <s v="Scale AI"/>
        <s v="Ambience Healthcare"/>
        <s v="Perplexity AI"/>
        <s v="OpenAI"/>
        <s v="Safe Superintelligence (SSI)"/>
        <s v="Together AI"/>
        <s v="Lambda"/>
        <s v="Mistral AI"/>
        <s v="CoreWeave"/>
        <s v="Wayve"/>
        <s v="Figure AI"/>
        <s v="Hugging Face"/>
        <s v="Inflection AI"/>
        <s v="Cohere"/>
        <s v="Stability AI"/>
        <s v="Adept AI"/>
        <s v="SenseTime"/>
        <s v="UiPath"/>
        <s v="Palantir"/>
        <s v="Deepmind"/>
      </sharedItems>
    </cacheField>
    <cacheField name="Deal date" numFmtId="14">
      <sharedItems containsSemiMixedTypes="0" containsNonDate="0" containsDate="1" containsString="0" minDate="2014-01-26T00:00:00" maxDate="2025-12-02T00:00:00"/>
    </cacheField>
    <cacheField name="Round type" numFmtId="0">
      <sharedItems/>
    </cacheField>
    <cacheField name="Amount (millions) " numFmtId="7">
      <sharedItems containsSemiMixedTypes="0" containsString="0" containsNumber="1" containsInteger="1" minValue="0" maxValue="40000" count="33">
        <n v="5000"/>
        <n v="2300"/>
        <n v="6200"/>
        <n v="13000"/>
        <n v="2500"/>
        <n v="3000"/>
        <n v="10000"/>
        <n v="2000"/>
        <n v="14300"/>
        <n v="243"/>
        <n v="500"/>
        <n v="40000"/>
        <n v="3500"/>
        <n v="305"/>
        <n v="480"/>
        <n v="6000"/>
        <n v="650"/>
        <n v="6600"/>
        <n v="640"/>
        <n v="1050"/>
        <n v="2750"/>
        <n v="675"/>
        <n v="4000"/>
        <n v="235"/>
        <n v="1300"/>
        <n v="270"/>
        <n v="101"/>
        <n v="65"/>
        <n v="300"/>
        <n v="740"/>
        <n v="1340"/>
        <n v="0"/>
        <n v="1000"/>
      </sharedItems>
    </cacheField>
    <cacheField name="Lead_investors" numFmtId="0">
      <sharedItems/>
    </cacheField>
    <cacheField name="Other_investors" numFmtId="0">
      <sharedItems/>
    </cacheField>
    <cacheField name="Sector" numFmtId="0">
      <sharedItems/>
    </cacheField>
    <cacheField name="subsector" numFmtId="0">
      <sharedItems/>
    </cacheField>
    <cacheField name="Headquaters" numFmtId="0">
      <sharedItems/>
    </cacheField>
    <cacheField name="Year_founded" numFmtId="0">
      <sharedItems containsSemiMixedTypes="0" containsString="0" containsNumber="1" containsInteger="1" minValue="2003" maxValue="2025"/>
    </cacheField>
    <cacheField name="Ceo" numFmtId="0">
      <sharedItems count="28">
        <s v="Ali Ghodsi"/>
        <s v="Michael Truell"/>
        <s v="Jeff Bezos, Vik Bajaj"/>
        <s v="Dario Amodei"/>
        <s v="Palmer Luckey"/>
        <s v="Amish Shah"/>
        <s v="Elon Musk"/>
        <s v="Mira Murati"/>
        <s v="Alexandr Wang (moved to Meta)"/>
        <s v="Mike Ng"/>
        <s v="Aravind Srinivas"/>
        <s v="Sam Altman"/>
        <s v="Ilya Sutskever"/>
        <s v="Vipul Ved Prakash"/>
        <s v="Stephen Balaban"/>
        <s v="Arthur Mensch"/>
        <s v="Michael Intrator"/>
        <s v="Alex Kendall"/>
        <s v="Brett Adcock"/>
        <s v="Clem Delangue"/>
        <s v="Mustafa Suleyman (left for Microsoft)"/>
        <s v="Aidan Gomez"/>
        <s v="Emad Mostaque (resigned 2024)"/>
        <s v="David Luan"/>
        <s v="Xu Li"/>
        <s v="Daniel Dines"/>
        <s v="Alex Karp"/>
        <s v="Demis Hassabis"/>
      </sharedItems>
    </cacheField>
    <cacheField name="No. of employees_approx" numFmtId="0">
      <sharedItems containsSemiMixedTypes="0" containsString="0" containsNumber="1" containsInteger="1" minValue="30" maxValue="7000"/>
    </cacheField>
    <cacheField name="Annual_revenue (millions)" numFmtId="0">
      <sharedItems containsMixedTypes="1" containsNumber="1" containsInteger="1" minValue="11" maxValue="11600" count="25">
        <n v="3500"/>
        <n v="500"/>
        <s v="-"/>
        <n v="4000"/>
        <n v="1000"/>
        <n v="1400"/>
        <n v="150"/>
        <n v="11600"/>
        <n v="2800"/>
        <n v="100"/>
        <n v="300"/>
        <n v="1900"/>
        <n v="5400"/>
        <n v="2400"/>
        <n v="80"/>
        <n v="850"/>
        <n v="200"/>
        <n v="70"/>
        <n v="35"/>
        <n v="1600"/>
        <n v="11"/>
        <n v="36"/>
        <n v="700"/>
        <n v="892"/>
        <n v="1093"/>
      </sharedItems>
    </cacheField>
    <cacheField name="Ipo_status" numFmtId="0">
      <sharedItems/>
    </cacheField>
    <cacheField name="Key_products" numFmtId="0">
      <sharedItems/>
    </cacheField>
    <cacheField name="Open_source" numFmtId="0">
      <sharedItems count="2">
        <b v="1"/>
        <b v="0"/>
      </sharedItems>
    </cacheField>
    <cacheField name="Type" numFmtId="0">
      <sharedItems count="2">
        <s v="Open source"/>
        <s v="Closed source"/>
      </sharedItems>
    </cacheField>
    <cacheField name="Source" numFmtId="0">
      <sharedItems count="28">
        <s v="Bloomberg, TechCrunch"/>
        <s v="TechCrunch, Bloomberg"/>
        <s v="Crunchbase"/>
        <s v="TechCrunch, Crunchbase"/>
        <s v="TechCrunch, Reuters"/>
        <s v="Bloomberg (Musk disputes figures)"/>
        <s v="Crunchbase, TechCrunch"/>
        <s v="TechCrunch"/>
        <s v="Forbes, TechCrunch"/>
        <s v="CNBC, Reuters, Crunchbase"/>
        <s v="Bloomberg, Crunchbase"/>
        <s v="TechCrunch, Les Echos"/>
        <s v="Bloomberg, SEC filing"/>
        <s v="SEC filing, TechCrunch"/>
        <s v="Bloomberg"/>
        <s v="TechCrunch, Financial Times"/>
        <s v="TechCrunch, SEC filing"/>
        <s v="Amazon press release, WSJ"/>
        <s v="TechCrunch, Hugging Face blog"/>
        <s v="NYT, Bloomberg"/>
        <s v="Microsoft blog, WSJ"/>
        <s v="TechCrunch, The Information"/>
        <s v="WSJ, PitchBook"/>
        <s v="HKEX filings"/>
        <s v="SEC S-1 filing"/>
        <s v="SEC filing"/>
        <s v="Microsoft blog"/>
        <s v="The Information, Google"/>
      </sharedItems>
    </cacheField>
    <cacheField name="Year" numFmtId="0">
      <sharedItems containsSemiMixedTypes="0" containsString="0" containsNumber="1" containsInteger="1" minValue="2014" maxValue="2025" count="8">
        <n v="2025"/>
        <n v="2024"/>
        <n v="2023"/>
        <n v="2022"/>
        <n v="2021"/>
        <n v="2020"/>
        <n v="2019"/>
        <n v="2014"/>
      </sharedItems>
    </cacheField>
    <cacheField name="Deal_size_tier" numFmtId="0">
      <sharedItems count="5">
        <s v="Unicorn ($1B+)"/>
        <s v="Mega ($10B+)"/>
        <s v="Growth ($100M+)"/>
        <s v="Large ($500M+)"/>
        <s v="Early (&lt;$100M)"/>
      </sharedItems>
    </cacheField>
    <cacheField name="USA company" numFmtId="0">
      <sharedItems count="2">
        <b v="1"/>
        <b v="0"/>
      </sharedItems>
    </cacheField>
  </cacheFields>
  <extLst>
    <ext xmlns:x14="http://schemas.microsoft.com/office/spreadsheetml/2009/9/main" uri="{725AE2AE-9491-48be-B2B4-4EB974FC3084}">
      <x14:pivotCacheDefinition pivotCacheId="14184033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refreshedDate="46133.886096875001" createdVersion="8" refreshedVersion="8" minRefreshableVersion="3" recordCount="38" xr:uid="{2735184E-4B6E-4637-8EA7-D96F6C2C67DC}">
  <cacheSource type="worksheet">
    <worksheetSource name="Table1_1"/>
  </cacheSource>
  <cacheFields count="21">
    <cacheField name="Company" numFmtId="0">
      <sharedItems/>
    </cacheField>
    <cacheField name="Deal date" numFmtId="14">
      <sharedItems containsSemiMixedTypes="0" containsNonDate="0" containsDate="1" containsString="0" minDate="2014-01-26T00:00:00" maxDate="2025-12-02T00:00:00"/>
    </cacheField>
    <cacheField name="Round type" numFmtId="0">
      <sharedItems/>
    </cacheField>
    <cacheField name="Amount (millions) " numFmtId="7">
      <sharedItems containsSemiMixedTypes="0" containsString="0" containsNumber="1" containsInteger="1" minValue="0" maxValue="40000"/>
    </cacheField>
    <cacheField name="Lead_investors" numFmtId="0">
      <sharedItems/>
    </cacheField>
    <cacheField name="Other_investors" numFmtId="0">
      <sharedItems/>
    </cacheField>
    <cacheField name="Sector" numFmtId="0">
      <sharedItems/>
    </cacheField>
    <cacheField name="subsector" numFmtId="0">
      <sharedItems/>
    </cacheField>
    <cacheField name="Headquaters" numFmtId="0">
      <sharedItems count="5">
        <s v="United States"/>
        <s v="France"/>
        <s v="United Kingdom"/>
        <s v="Canada"/>
        <s v="China"/>
      </sharedItems>
    </cacheField>
    <cacheField name="Year_founded" numFmtId="0">
      <sharedItems containsSemiMixedTypes="0" containsString="0" containsNumber="1" containsInteger="1" minValue="2003" maxValue="2025"/>
    </cacheField>
    <cacheField name="Ceo" numFmtId="0">
      <sharedItems/>
    </cacheField>
    <cacheField name="No. of employees_approx" numFmtId="0">
      <sharedItems containsSemiMixedTypes="0" containsString="0" containsNumber="1" containsInteger="1" minValue="30" maxValue="7000"/>
    </cacheField>
    <cacheField name="Annual_revenue (millions)" numFmtId="0">
      <sharedItems containsMixedTypes="1" containsNumber="1" containsInteger="1" minValue="11" maxValue="11600"/>
    </cacheField>
    <cacheField name="Ipo_status" numFmtId="0">
      <sharedItems/>
    </cacheField>
    <cacheField name="Key_products" numFmtId="0">
      <sharedItems/>
    </cacheField>
    <cacheField name="Open_source" numFmtId="0">
      <sharedItems/>
    </cacheField>
    <cacheField name="Type" numFmtId="0">
      <sharedItems/>
    </cacheField>
    <cacheField name="Source" numFmtId="0">
      <sharedItems/>
    </cacheField>
    <cacheField name="Year" numFmtId="0">
      <sharedItems containsSemiMixedTypes="0" containsString="0" containsNumber="1" containsInteger="1" minValue="2014" maxValue="2025"/>
    </cacheField>
    <cacheField name="Deal_size_tier" numFmtId="0">
      <sharedItems/>
    </cacheField>
    <cacheField name="USA company" numFmtId="0">
      <sharedItems/>
    </cacheField>
  </cacheFields>
  <extLst>
    <ext xmlns:x14="http://schemas.microsoft.com/office/spreadsheetml/2009/9/main" uri="{725AE2AE-9491-48be-B2B4-4EB974FC3084}">
      <x14:pivotCacheDefinition pivotCacheId="11942987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refreshedDate="46133.896628356481" createdVersion="8" refreshedVersion="8" minRefreshableVersion="3" recordCount="38" xr:uid="{E37443A1-CCC4-4C35-8753-EB7EB57D7CB8}">
  <cacheSource type="worksheet">
    <worksheetSource name="Table1_1"/>
  </cacheSource>
  <cacheFields count="21">
    <cacheField name="Company" numFmtId="0">
      <sharedItems/>
    </cacheField>
    <cacheField name="Deal date" numFmtId="14">
      <sharedItems containsSemiMixedTypes="0" containsNonDate="0" containsDate="1" containsString="0" minDate="2014-01-26T00:00:00" maxDate="2025-12-02T00:00:00"/>
    </cacheField>
    <cacheField name="Round type" numFmtId="0">
      <sharedItems/>
    </cacheField>
    <cacheField name="Amount (millions) " numFmtId="7">
      <sharedItems containsSemiMixedTypes="0" containsString="0" containsNumber="1" containsInteger="1" minValue="0" maxValue="40000"/>
    </cacheField>
    <cacheField name="Lead_investors" numFmtId="0">
      <sharedItems/>
    </cacheField>
    <cacheField name="Other_investors" numFmtId="0">
      <sharedItems/>
    </cacheField>
    <cacheField name="Sector" numFmtId="0">
      <sharedItems/>
    </cacheField>
    <cacheField name="subsector" numFmtId="0">
      <sharedItems/>
    </cacheField>
    <cacheField name="Headquarters" numFmtId="0">
      <sharedItems/>
    </cacheField>
    <cacheField name="Year_founded" numFmtId="0">
      <sharedItems containsSemiMixedTypes="0" containsString="0" containsNumber="1" containsInteger="1" minValue="2003" maxValue="2025"/>
    </cacheField>
    <cacheField name="Ceo" numFmtId="0">
      <sharedItems/>
    </cacheField>
    <cacheField name="No. of employees_approx" numFmtId="0">
      <sharedItems containsSemiMixedTypes="0" containsString="0" containsNumber="1" containsInteger="1" minValue="30" maxValue="7000"/>
    </cacheField>
    <cacheField name="Annual_revenue (millions)" numFmtId="0">
      <sharedItems containsMixedTypes="1" containsNumber="1" containsInteger="1" minValue="11" maxValue="11600"/>
    </cacheField>
    <cacheField name="Ipo_status" numFmtId="0">
      <sharedItems/>
    </cacheField>
    <cacheField name="Key_products" numFmtId="0">
      <sharedItems/>
    </cacheField>
    <cacheField name="Open_source" numFmtId="0">
      <sharedItems/>
    </cacheField>
    <cacheField name="Type" numFmtId="0">
      <sharedItems/>
    </cacheField>
    <cacheField name="Source" numFmtId="0">
      <sharedItems/>
    </cacheField>
    <cacheField name="Year" numFmtId="0">
      <sharedItems containsSemiMixedTypes="0" containsString="0" containsNumber="1" containsInteger="1" minValue="2014" maxValue="2025"/>
    </cacheField>
    <cacheField name="Deal_size_tier" numFmtId="0">
      <sharedItems count="5">
        <s v="Unicorn ($1B+)"/>
        <s v="Mega ($10B+)"/>
        <s v="Growth ($100M+)"/>
        <s v="Large ($500M+)"/>
        <s v="Early (&lt;$100M)"/>
      </sharedItems>
    </cacheField>
    <cacheField name="USA company" numFmtId="0">
      <sharedItems/>
    </cacheField>
  </cacheFields>
  <extLst>
    <ext xmlns:x14="http://schemas.microsoft.com/office/spreadsheetml/2009/9/main" uri="{725AE2AE-9491-48be-B2B4-4EB974FC3084}">
      <x14:pivotCacheDefinition pivotCacheId="396149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d v="2025-12-01T00:00:00"/>
    <s v="Series J"/>
    <x v="0"/>
    <s v="Thrive Capital"/>
    <s v="a16z, DST Global, Insight Partners"/>
    <s v="AI Infrastructure"/>
    <s v="Data Platform / ML Infrastructure"/>
    <s v="United States"/>
    <n v="2013"/>
    <x v="0"/>
    <n v="7000"/>
    <x v="0"/>
    <s v="Private (IPO expected 2026)"/>
    <s v="Databricks Lakehouse, Mosaic ML, Unity Catalog"/>
    <x v="0"/>
    <x v="0"/>
    <x v="0"/>
    <x v="0"/>
    <x v="0"/>
    <x v="0"/>
  </r>
  <r>
    <x v="1"/>
    <d v="2025-11-13T00:00:00"/>
    <s v="Series C"/>
    <x v="1"/>
    <s v="Accel, Coatue"/>
    <s v="Thrive Capital, DST Global, Google, Nvidia"/>
    <s v="AI Application"/>
    <s v="AI Coding Assistant"/>
    <s v="United States"/>
    <n v="2022"/>
    <x v="1"/>
    <n v="100"/>
    <x v="1"/>
    <s v="Private"/>
    <s v="Cursor AI IDE"/>
    <x v="1"/>
    <x v="1"/>
    <x v="1"/>
    <x v="0"/>
    <x v="0"/>
    <x v="0"/>
  </r>
  <r>
    <x v="2"/>
    <d v="2025-11-01T00:00:00"/>
    <s v="Seed / Launch"/>
    <x v="2"/>
    <s v="Undisclosed"/>
    <s v="Jeff Bezos (co-CEO)"/>
    <s v="AI for Physical World"/>
    <s v="Engineering / Manufacturing AI"/>
    <s v="United States"/>
    <n v="2025"/>
    <x v="2"/>
    <n v="50"/>
    <x v="2"/>
    <s v="Private"/>
    <s v="AI for physical economy"/>
    <x v="1"/>
    <x v="1"/>
    <x v="2"/>
    <x v="0"/>
    <x v="0"/>
    <x v="0"/>
  </r>
  <r>
    <x v="3"/>
    <d v="2025-09-02T00:00:00"/>
    <s v="Series F"/>
    <x v="3"/>
    <s v="Iconiq Capital, Fidelity, Lightspeed"/>
    <s v="BlackRock, Blackstone, Coatue, Qatar Investment Authority"/>
    <s v="Foundation Model / LLM"/>
    <s v="AI Safety Research"/>
    <s v="United States"/>
    <n v="2021"/>
    <x v="3"/>
    <n v="1600"/>
    <x v="3"/>
    <s v="Private"/>
    <s v="Claude, Claude API, Constitutional AI"/>
    <x v="1"/>
    <x v="1"/>
    <x v="3"/>
    <x v="0"/>
    <x v="1"/>
    <x v="0"/>
  </r>
  <r>
    <x v="4"/>
    <d v="2025-08-15T00:00:00"/>
    <s v="Series F"/>
    <x v="4"/>
    <s v="Founders Fund"/>
    <s v="a16z, 8VC, General Catalyst, Lux Capital"/>
    <s v="AI Application"/>
    <s v="Defense AI"/>
    <s v="United States"/>
    <n v="2017"/>
    <x v="4"/>
    <n v="4500"/>
    <x v="4"/>
    <s v="Private"/>
    <s v="Lattice, Ghost, ALTIUS, Menace"/>
    <x v="1"/>
    <x v="1"/>
    <x v="4"/>
    <x v="0"/>
    <x v="0"/>
    <x v="0"/>
  </r>
  <r>
    <x v="5"/>
    <d v="2025-08-01T00:00:00"/>
    <s v="Growth Equity"/>
    <x v="5"/>
    <s v="Private investor (undisclosed)"/>
    <s v="None disclosed"/>
    <s v="AI Application"/>
    <s v="XR / Immersive AI"/>
    <s v="United States"/>
    <n v="2019"/>
    <x v="5"/>
    <n v="500"/>
    <x v="2"/>
    <s v="Private"/>
    <s v="XR, immersive commerce, AI media"/>
    <x v="1"/>
    <x v="1"/>
    <x v="2"/>
    <x v="0"/>
    <x v="0"/>
    <x v="0"/>
  </r>
  <r>
    <x v="6"/>
    <d v="2025-07-15T00:00:00"/>
    <s v="Series C"/>
    <x v="6"/>
    <s v="Valor Capital, Qatar Investment Authority"/>
    <s v="Kingdom Holding (Prince Al Waleed), Nvidia"/>
    <s v="Foundation Model / LLM"/>
    <s v="General-Purpose AI"/>
    <s v="United States"/>
    <n v="2023"/>
    <x v="6"/>
    <n v="600"/>
    <x v="2"/>
    <s v="Private"/>
    <s v="Grok, Grok 4, Colossus supercomputer"/>
    <x v="0"/>
    <x v="0"/>
    <x v="5"/>
    <x v="0"/>
    <x v="1"/>
    <x v="0"/>
  </r>
  <r>
    <x v="7"/>
    <d v="2025-07-15T00:00:00"/>
    <s v="Seed"/>
    <x v="7"/>
    <s v="Andreessen Horowitz"/>
    <s v="Nvidia, Accel, AMD, Cisco"/>
    <s v="Foundation Model / LLM"/>
    <s v="AI Research"/>
    <s v="United States"/>
    <n v="2024"/>
    <x v="7"/>
    <n v="30"/>
    <x v="2"/>
    <s v="Private"/>
    <s v="Foundation models (stealth)"/>
    <x v="1"/>
    <x v="1"/>
    <x v="6"/>
    <x v="0"/>
    <x v="0"/>
    <x v="0"/>
  </r>
  <r>
    <x v="8"/>
    <d v="2025-06-15T00:00:00"/>
    <s v="Strategic Investment"/>
    <x v="8"/>
    <s v="Meta (49% stake)"/>
    <s v="None disclosed"/>
    <s v="AI Infrastructure"/>
    <s v="Data Labeling / Training Data"/>
    <s v="United States"/>
    <n v="2016"/>
    <x v="8"/>
    <n v="1200"/>
    <x v="5"/>
    <s v="Private"/>
    <s v="Data labeling, RLHF, AI infrastructure"/>
    <x v="1"/>
    <x v="1"/>
    <x v="0"/>
    <x v="0"/>
    <x v="1"/>
    <x v="0"/>
  </r>
  <r>
    <x v="9"/>
    <d v="2025-06-01T00:00:00"/>
    <s v="Series C"/>
    <x v="9"/>
    <s v="Oak HC/FT, a16z"/>
    <s v="Kleiner Perkins, OpenAI Startup Fund"/>
    <s v="AI Application"/>
    <s v="Healthcare AI"/>
    <s v="United States"/>
    <n v="2020"/>
    <x v="9"/>
    <n v="300"/>
    <x v="2"/>
    <s v="Private"/>
    <s v="AI medical documentation, clinical AI OS"/>
    <x v="1"/>
    <x v="1"/>
    <x v="7"/>
    <x v="0"/>
    <x v="2"/>
    <x v="0"/>
  </r>
  <r>
    <x v="10"/>
    <d v="2025-05-01T00:00:00"/>
    <s v="Series E"/>
    <x v="10"/>
    <s v="Accel"/>
    <s v="IVP, Nvidia, Bezos Expeditions"/>
    <s v="AI Application"/>
    <s v="AI Search Engine"/>
    <s v="United States"/>
    <n v="2022"/>
    <x v="10"/>
    <n v="250"/>
    <x v="6"/>
    <s v="Private"/>
    <s v="Perplexity Search, Perplexity Pro"/>
    <x v="1"/>
    <x v="1"/>
    <x v="8"/>
    <x v="0"/>
    <x v="3"/>
    <x v="0"/>
  </r>
  <r>
    <x v="11"/>
    <d v="2025-04-02T00:00:00"/>
    <s v="Series F"/>
    <x v="11"/>
    <s v="SoftBank"/>
    <s v="Microsoft, Coatue, Thrive Capital"/>
    <s v="Foundation Model / LLM"/>
    <s v="General-Purpose AI"/>
    <s v="United States"/>
    <n v="2015"/>
    <x v="11"/>
    <n v="3700"/>
    <x v="7"/>
    <s v="Private (IPO rumored)"/>
    <s v="ChatGPT, GPT-4o, DALL-E, Sora"/>
    <x v="1"/>
    <x v="1"/>
    <x v="9"/>
    <x v="0"/>
    <x v="1"/>
    <x v="0"/>
  </r>
  <r>
    <x v="12"/>
    <d v="2025-04-01T00:00:00"/>
    <s v="Series A"/>
    <x v="7"/>
    <s v="Greenoaks Capital Partners"/>
    <s v="a16z, Sequoia, DST Global"/>
    <s v="Foundation Model / LLM"/>
    <s v="AI Safety Research"/>
    <s v="United States"/>
    <n v="2024"/>
    <x v="12"/>
    <n v="30"/>
    <x v="2"/>
    <s v="Private"/>
    <s v="Safe superintelligence (stealth)"/>
    <x v="1"/>
    <x v="1"/>
    <x v="10"/>
    <x v="0"/>
    <x v="0"/>
    <x v="0"/>
  </r>
  <r>
    <x v="3"/>
    <d v="2025-03-03T00:00:00"/>
    <s v="Series E Extension"/>
    <x v="12"/>
    <s v="Lightspeed Venture Partners"/>
    <s v="Salesforce Ventures, Menlo Ventures, General Catalyst"/>
    <s v="Foundation Model / LLM"/>
    <s v="AI Safety Research"/>
    <s v="United States"/>
    <n v="2021"/>
    <x v="3"/>
    <n v="1400"/>
    <x v="8"/>
    <s v="Private"/>
    <s v="Claude, Claude API"/>
    <x v="1"/>
    <x v="1"/>
    <x v="7"/>
    <x v="0"/>
    <x v="0"/>
    <x v="0"/>
  </r>
  <r>
    <x v="13"/>
    <d v="2025-02-20T00:00:00"/>
    <s v="Series B"/>
    <x v="13"/>
    <s v="Prosperity7, General Catalyst"/>
    <s v="Salesforce Ventures, Nvidia, Lux Capital"/>
    <s v="AI Infrastructure"/>
    <s v="Open Source AI Platform"/>
    <s v="United States"/>
    <n v="2022"/>
    <x v="13"/>
    <n v="200"/>
    <x v="9"/>
    <s v="Private"/>
    <s v="Together Inference, Together Fine-Tuning"/>
    <x v="0"/>
    <x v="0"/>
    <x v="7"/>
    <x v="0"/>
    <x v="2"/>
    <x v="0"/>
  </r>
  <r>
    <x v="14"/>
    <d v="2025-02-19T00:00:00"/>
    <s v="Series D"/>
    <x v="14"/>
    <s v="SGW, Andra Capital"/>
    <s v="Nvidia, G Squared, ARK Invest"/>
    <s v="AI Infrastructure"/>
    <s v="GPU Cloud Computing"/>
    <s v="United States"/>
    <n v="2012"/>
    <x v="14"/>
    <n v="400"/>
    <x v="1"/>
    <s v="Private"/>
    <s v="Lambda Cloud, GPU clusters"/>
    <x v="1"/>
    <x v="1"/>
    <x v="7"/>
    <x v="0"/>
    <x v="2"/>
    <x v="0"/>
  </r>
  <r>
    <x v="15"/>
    <d v="2025-01-27T00:00:00"/>
    <s v="Series C"/>
    <x v="7"/>
    <s v="General Catalyst, Bpifrance"/>
    <s v="a16z, Lightspeed, Samsung, IBM"/>
    <s v="Foundation Model / LLM"/>
    <s v="Open-Weight AI Models"/>
    <s v="France"/>
    <n v="2023"/>
    <x v="15"/>
    <n v="700"/>
    <x v="10"/>
    <s v="Private"/>
    <s v="Mistral Large 2, Codestral, Le Chat"/>
    <x v="0"/>
    <x v="0"/>
    <x v="11"/>
    <x v="0"/>
    <x v="0"/>
    <x v="1"/>
  </r>
  <r>
    <x v="6"/>
    <d v="2024-12-23T00:00:00"/>
    <s v="Series C"/>
    <x v="15"/>
    <s v="Various (undisclosed)"/>
    <s v="Nvidia, A-Cap, Valor Equity Partners"/>
    <s v="Foundation Model / LLM"/>
    <s v="General-Purpose AI"/>
    <s v="United States"/>
    <n v="2023"/>
    <x v="6"/>
    <n v="400"/>
    <x v="2"/>
    <s v="Private"/>
    <s v="Grok 2, Colossus"/>
    <x v="0"/>
    <x v="0"/>
    <x v="12"/>
    <x v="1"/>
    <x v="0"/>
    <x v="0"/>
  </r>
  <r>
    <x v="16"/>
    <d v="2024-11-21T00:00:00"/>
    <s v="Series C"/>
    <x v="16"/>
    <s v="Jane Street Capital"/>
    <s v="Fidelity, Coatue, Magnetar"/>
    <s v="AI Infrastructure"/>
    <s v="GPU Cloud Computing"/>
    <s v="United States"/>
    <n v="2017"/>
    <x v="16"/>
    <n v="1300"/>
    <x v="11"/>
    <s v="IPO March 2025 (CRWV)"/>
    <s v="GPU cloud, AI training clusters"/>
    <x v="1"/>
    <x v="1"/>
    <x v="10"/>
    <x v="1"/>
    <x v="3"/>
    <x v="0"/>
  </r>
  <r>
    <x v="11"/>
    <d v="2024-10-02T00:00:00"/>
    <s v="Series E"/>
    <x v="17"/>
    <s v="Thrive Capital"/>
    <s v="Microsoft, Nvidia, SoftBank, Khosla Ventures, Tiger Global"/>
    <s v="Foundation Model / LLM"/>
    <s v="General-Purpose AI"/>
    <s v="United States"/>
    <n v="2015"/>
    <x v="11"/>
    <n v="3000"/>
    <x v="12"/>
    <s v="Private"/>
    <s v="ChatGPT, GPT-4, DALL-E 3, Sora"/>
    <x v="1"/>
    <x v="1"/>
    <x v="13"/>
    <x v="1"/>
    <x v="0"/>
    <x v="0"/>
  </r>
  <r>
    <x v="0"/>
    <d v="2024-09-19T00:00:00"/>
    <s v="Series I"/>
    <x v="6"/>
    <s v="Thrive Capital"/>
    <s v="a16z, DST Global, GIC, Iconiq"/>
    <s v="AI Infrastructure"/>
    <s v="Data Platform / ML Infrastructure"/>
    <s v="United States"/>
    <n v="2013"/>
    <x v="0"/>
    <n v="6000"/>
    <x v="13"/>
    <s v="Private"/>
    <s v="Databricks Lakehouse, Mosaic ML"/>
    <x v="0"/>
    <x v="0"/>
    <x v="14"/>
    <x v="1"/>
    <x v="1"/>
    <x v="0"/>
  </r>
  <r>
    <x v="15"/>
    <d v="2024-06-11T00:00:00"/>
    <s v="Series B"/>
    <x v="18"/>
    <s v="General Catalyst"/>
    <s v="a16z, Lightspeed, BNP Paribas, Samsung"/>
    <s v="Foundation Model / LLM"/>
    <s v="Open-Weight AI Models"/>
    <s v="France"/>
    <n v="2023"/>
    <x v="15"/>
    <n v="400"/>
    <x v="14"/>
    <s v="Private"/>
    <s v="Mistral Large, Mixtral, Le Chat"/>
    <x v="0"/>
    <x v="0"/>
    <x v="11"/>
    <x v="1"/>
    <x v="3"/>
    <x v="1"/>
  </r>
  <r>
    <x v="17"/>
    <d v="2024-05-07T00:00:00"/>
    <s v="Series C"/>
    <x v="19"/>
    <s v="SoftBank Vision Fund"/>
    <s v="Nvidia, Microsoft, Eclipse Ventures"/>
    <s v="AI Application"/>
    <s v="Autonomous Driving"/>
    <s v="United Kingdom"/>
    <n v="2017"/>
    <x v="17"/>
    <n v="350"/>
    <x v="2"/>
    <s v="Private"/>
    <s v="LINGO-2, AI driving platform"/>
    <x v="1"/>
    <x v="1"/>
    <x v="15"/>
    <x v="1"/>
    <x v="0"/>
    <x v="1"/>
  </r>
  <r>
    <x v="3"/>
    <d v="2024-03-01T00:00:00"/>
    <s v="Series D"/>
    <x v="20"/>
    <s v="Menlo Ventures"/>
    <s v="Google, Spark Capital, Salesforce Ventures"/>
    <s v="Foundation Model / LLM"/>
    <s v="AI Safety Research"/>
    <s v="United States"/>
    <n v="2021"/>
    <x v="3"/>
    <n v="1000"/>
    <x v="15"/>
    <s v="Private"/>
    <s v="Claude 3, Claude API"/>
    <x v="1"/>
    <x v="1"/>
    <x v="16"/>
    <x v="1"/>
    <x v="0"/>
    <x v="0"/>
  </r>
  <r>
    <x v="18"/>
    <d v="2024-02-29T00:00:00"/>
    <s v="Series B"/>
    <x v="21"/>
    <s v="Microsoft, Nvidia, OpenAI Startup Fund"/>
    <s v="Jeff Bezos, Intel, Samsung, Parkway Venture Capital"/>
    <s v="AI Application"/>
    <s v="Humanoid Robotics"/>
    <s v="United States"/>
    <n v="2022"/>
    <x v="18"/>
    <n v="700"/>
    <x v="2"/>
    <s v="Private"/>
    <s v="Figure 01, Figure 02 humanoid robots"/>
    <x v="1"/>
    <x v="1"/>
    <x v="0"/>
    <x v="1"/>
    <x v="3"/>
    <x v="0"/>
  </r>
  <r>
    <x v="3"/>
    <d v="2023-09-25T00:00:00"/>
    <s v="Strategic Investment"/>
    <x v="22"/>
    <s v="Amazon"/>
    <s v="None disclosed"/>
    <s v="Foundation Model / LLM"/>
    <s v="AI Safety Research"/>
    <s v="United States"/>
    <n v="2021"/>
    <x v="3"/>
    <n v="500"/>
    <x v="16"/>
    <s v="Private"/>
    <s v="Claude 2, Claude API"/>
    <x v="1"/>
    <x v="1"/>
    <x v="17"/>
    <x v="2"/>
    <x v="0"/>
    <x v="0"/>
  </r>
  <r>
    <x v="19"/>
    <d v="2023-08-24T00:00:00"/>
    <s v="Series D"/>
    <x v="23"/>
    <s v="Google, Amazon, Nvidia"/>
    <s v="Salesforce, AMD, Intel, IBM, Qualcomm"/>
    <s v="AI Infrastructure"/>
    <s v="Open Source AI Platform"/>
    <s v="United States"/>
    <n v="2016"/>
    <x v="19"/>
    <n v="250"/>
    <x v="17"/>
    <s v="Private"/>
    <s v="Hugging Face Hub, Transformers, Inference API"/>
    <x v="0"/>
    <x v="0"/>
    <x v="18"/>
    <x v="2"/>
    <x v="2"/>
    <x v="0"/>
  </r>
  <r>
    <x v="20"/>
    <d v="2023-06-29T00:00:00"/>
    <s v="Series B"/>
    <x v="24"/>
    <s v="Microsoft, Nvidia, Reid Hoffman"/>
    <s v="Bill Gates, Eric Schmidt, Greylock"/>
    <s v="Foundation Model / LLM"/>
    <s v="Personal AI Assistant"/>
    <s v="United States"/>
    <n v="2022"/>
    <x v="20"/>
    <n v="200"/>
    <x v="2"/>
    <s v="Effectively Acquired by Microsoft"/>
    <s v="Pi personal AI (wound down)"/>
    <x v="1"/>
    <x v="1"/>
    <x v="19"/>
    <x v="2"/>
    <x v="0"/>
    <x v="0"/>
  </r>
  <r>
    <x v="21"/>
    <d v="2023-06-08T00:00:00"/>
    <s v="Series C"/>
    <x v="25"/>
    <s v="Inovia Capital"/>
    <s v="Nvidia, Oracle, Salesforce Ventures, Index Ventures"/>
    <s v="Foundation Model / LLM"/>
    <s v="Enterprise AI"/>
    <s v="Canada"/>
    <n v="2019"/>
    <x v="21"/>
    <n v="450"/>
    <x v="18"/>
    <s v="Private"/>
    <s v="Command, Embed, Rerank"/>
    <x v="0"/>
    <x v="0"/>
    <x v="7"/>
    <x v="2"/>
    <x v="2"/>
    <x v="1"/>
  </r>
  <r>
    <x v="11"/>
    <d v="2023-01-23T00:00:00"/>
    <s v="Strategic Investment"/>
    <x v="6"/>
    <s v="Microsoft"/>
    <s v="None disclosed"/>
    <s v="Foundation Model / LLM"/>
    <s v="General-Purpose AI"/>
    <s v="United States"/>
    <n v="2015"/>
    <x v="11"/>
    <n v="770"/>
    <x v="19"/>
    <s v="Private"/>
    <s v="ChatGPT, GPT-4, DALL-E 2"/>
    <x v="1"/>
    <x v="1"/>
    <x v="20"/>
    <x v="2"/>
    <x v="1"/>
    <x v="0"/>
  </r>
  <r>
    <x v="22"/>
    <d v="2022-10-17T00:00:00"/>
    <s v="Seed"/>
    <x v="26"/>
    <s v="Lightspeed, Coatue"/>
    <s v="O'Shaughnessy Ventures"/>
    <s v="Foundation Model / Image Gen"/>
    <s v="Image Generation"/>
    <s v="United Kingdom"/>
    <n v="2019"/>
    <x v="22"/>
    <n v="150"/>
    <x v="20"/>
    <s v="Private (struggling)"/>
    <s v="Stable Diffusion"/>
    <x v="0"/>
    <x v="0"/>
    <x v="0"/>
    <x v="3"/>
    <x v="2"/>
    <x v="1"/>
  </r>
  <r>
    <x v="23"/>
    <d v="2022-04-26T00:00:00"/>
    <s v="Series A"/>
    <x v="27"/>
    <s v="Greylock Partners"/>
    <s v="Addition, Atlassian Ventures"/>
    <s v="AI Application"/>
    <s v="AI Agent / Action Models"/>
    <s v="United States"/>
    <n v="2022"/>
    <x v="23"/>
    <n v="40"/>
    <x v="2"/>
    <s v="Acqui-hired by Amazon 2024"/>
    <s v="ACT-1 action model"/>
    <x v="1"/>
    <x v="1"/>
    <x v="21"/>
    <x v="3"/>
    <x v="4"/>
    <x v="0"/>
  </r>
  <r>
    <x v="11"/>
    <d v="2022-04-01T00:00:00"/>
    <s v="Series D"/>
    <x v="28"/>
    <s v="Tiger Global, a16z"/>
    <s v="Sequoia Capital, Bedrock"/>
    <s v="Foundation Model / LLM"/>
    <s v="General-Purpose AI"/>
    <s v="United States"/>
    <n v="2015"/>
    <x v="11"/>
    <n v="375"/>
    <x v="21"/>
    <s v="Private"/>
    <s v="GPT-3, DALL-E 2, Codex"/>
    <x v="1"/>
    <x v="1"/>
    <x v="22"/>
    <x v="3"/>
    <x v="2"/>
    <x v="0"/>
  </r>
  <r>
    <x v="24"/>
    <d v="2021-12-20T00:00:00"/>
    <s v="IPO"/>
    <x v="29"/>
    <s v="Public Market (HKEX)"/>
    <s v="Cornerstone: CITIC, CICC, HAO Capital"/>
    <s v="AI Application"/>
    <s v="Computer Vision / Smart City"/>
    <s v="China"/>
    <n v="2014"/>
    <x v="24"/>
    <n v="6000"/>
    <x v="22"/>
    <s v="Public (HKEX: 0020)"/>
    <s v="SenseCore, facial recognition, autonomous driving"/>
    <x v="1"/>
    <x v="1"/>
    <x v="23"/>
    <x v="4"/>
    <x v="3"/>
    <x v="1"/>
  </r>
  <r>
    <x v="25"/>
    <d v="2021-04-21T00:00:00"/>
    <s v="IPO"/>
    <x v="30"/>
    <s v="Public Market (NYSE)"/>
    <s v="Morgan Stanley, JPMorgan, BofA"/>
    <s v="AI Application"/>
    <s v="Robotic Process Automation"/>
    <s v="United States"/>
    <n v="2005"/>
    <x v="25"/>
    <n v="4000"/>
    <x v="23"/>
    <s v="Public (NYSE: PATH)"/>
    <s v="UiPath Platform, AI Center"/>
    <x v="1"/>
    <x v="1"/>
    <x v="24"/>
    <x v="4"/>
    <x v="0"/>
    <x v="0"/>
  </r>
  <r>
    <x v="26"/>
    <d v="2020-09-30T00:00:00"/>
    <s v="Direct Listing"/>
    <x v="31"/>
    <s v="Public Market (NYSE)"/>
    <s v="N/A"/>
    <s v="AI Application"/>
    <s v="Data Analytics / Defense AI"/>
    <s v="United States"/>
    <n v="2003"/>
    <x v="26"/>
    <n v="2400"/>
    <x v="24"/>
    <s v="Public (NYSE: PLTR)"/>
    <s v="Foundry, Gotham, AIP"/>
    <x v="1"/>
    <x v="1"/>
    <x v="25"/>
    <x v="5"/>
    <x v="4"/>
    <x v="0"/>
  </r>
  <r>
    <x v="11"/>
    <d v="2019-07-22T00:00:00"/>
    <s v="Strategic Investment"/>
    <x v="32"/>
    <s v="Microsoft"/>
    <s v="None disclosed"/>
    <s v="Foundation Model / LLM"/>
    <s v="General-Purpose AI"/>
    <s v="United States"/>
    <n v="2015"/>
    <x v="11"/>
    <n v="120"/>
    <x v="2"/>
    <s v="Private"/>
    <s v="GPT-2, OpenAI Five"/>
    <x v="0"/>
    <x v="0"/>
    <x v="26"/>
    <x v="6"/>
    <x v="0"/>
    <x v="0"/>
  </r>
  <r>
    <x v="27"/>
    <d v="2014-01-26T00:00:00"/>
    <s v="Acquisition"/>
    <x v="10"/>
    <s v="Google (acquirer)"/>
    <s v="N/A"/>
    <s v="Foundation Model / Research"/>
    <s v="AI Research Lab"/>
    <s v="United Kingdom"/>
    <n v="2010"/>
    <x v="27"/>
    <n v="400"/>
    <x v="2"/>
    <s v="Acquired by Google"/>
    <s v="AlphaFold, Gemini, AlphaGo"/>
    <x v="0"/>
    <x v="0"/>
    <x v="27"/>
    <x v="7"/>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Databricks"/>
    <d v="2025-12-01T00:00:00"/>
    <s v="Series J"/>
    <n v="5000"/>
    <s v="Thrive Capital"/>
    <s v="a16z, DST Global, Insight Partners"/>
    <s v="AI Infrastructure"/>
    <s v="Data Platform / ML Infrastructure"/>
    <x v="0"/>
    <n v="2013"/>
    <s v="Ali Ghodsi"/>
    <n v="7000"/>
    <n v="3500"/>
    <s v="Private (IPO expected 2026)"/>
    <s v="Databricks Lakehouse, Mosaic ML, Unity Catalog"/>
    <b v="1"/>
    <s v="Open source"/>
    <s v="Bloomberg, TechCrunch"/>
    <n v="2025"/>
    <s v="Unicorn ($1B+)"/>
    <b v="1"/>
  </r>
  <r>
    <s v="Anysphere (Cursor)"/>
    <d v="2025-11-13T00:00:00"/>
    <s v="Series C"/>
    <n v="2300"/>
    <s v="Accel, Coatue"/>
    <s v="Thrive Capital, DST Global, Google, Nvidia"/>
    <s v="AI Application"/>
    <s v="AI Coding Assistant"/>
    <x v="0"/>
    <n v="2022"/>
    <s v="Michael Truell"/>
    <n v="100"/>
    <n v="500"/>
    <s v="Private"/>
    <s v="Cursor AI IDE"/>
    <b v="0"/>
    <s v="Closed source"/>
    <s v="TechCrunch, Bloomberg"/>
    <n v="2025"/>
    <s v="Unicorn ($1B+)"/>
    <b v="1"/>
  </r>
  <r>
    <s v="Project Prometheus"/>
    <d v="2025-11-01T00:00:00"/>
    <s v="Seed / Launch"/>
    <n v="6200"/>
    <s v="Undisclosed"/>
    <s v="Jeff Bezos (co-CEO)"/>
    <s v="AI for Physical World"/>
    <s v="Engineering / Manufacturing AI"/>
    <x v="0"/>
    <n v="2025"/>
    <s v="Jeff Bezos, Vik Bajaj"/>
    <n v="50"/>
    <s v="-"/>
    <s v="Private"/>
    <s v="AI for physical economy"/>
    <b v="0"/>
    <s v="Closed source"/>
    <s v="Crunchbase"/>
    <n v="2025"/>
    <s v="Unicorn ($1B+)"/>
    <b v="1"/>
  </r>
  <r>
    <s v="Anthropic"/>
    <d v="2025-09-02T00:00:00"/>
    <s v="Series F"/>
    <n v="13000"/>
    <s v="Iconiq Capital, Fidelity, Lightspeed"/>
    <s v="BlackRock, Blackstone, Coatue, Qatar Investment Authority"/>
    <s v="Foundation Model / LLM"/>
    <s v="AI Safety Research"/>
    <x v="0"/>
    <n v="2021"/>
    <s v="Dario Amodei"/>
    <n v="1600"/>
    <n v="4000"/>
    <s v="Private"/>
    <s v="Claude, Claude API, Constitutional AI"/>
    <b v="0"/>
    <s v="Closed source"/>
    <s v="TechCrunch, Crunchbase"/>
    <n v="2025"/>
    <s v="Mega ($10B+)"/>
    <b v="1"/>
  </r>
  <r>
    <s v="Anduril Industries"/>
    <d v="2025-08-15T00:00:00"/>
    <s v="Series F"/>
    <n v="2500"/>
    <s v="Founders Fund"/>
    <s v="a16z, 8VC, General Catalyst, Lux Capital"/>
    <s v="AI Application"/>
    <s v="Defense AI"/>
    <x v="0"/>
    <n v="2017"/>
    <s v="Palmer Luckey"/>
    <n v="4500"/>
    <n v="1000"/>
    <s v="Private"/>
    <s v="Lattice, Ghost, ALTIUS, Menace"/>
    <b v="0"/>
    <s v="Closed source"/>
    <s v="TechCrunch, Reuters"/>
    <n v="2025"/>
    <s v="Unicorn ($1B+)"/>
    <b v="1"/>
  </r>
  <r>
    <s v="Infinite Reality"/>
    <d v="2025-08-01T00:00:00"/>
    <s v="Growth Equity"/>
    <n v="3000"/>
    <s v="Private investor (undisclosed)"/>
    <s v="None disclosed"/>
    <s v="AI Application"/>
    <s v="XR / Immersive AI"/>
    <x v="0"/>
    <n v="2019"/>
    <s v="Amish Shah"/>
    <n v="500"/>
    <s v="-"/>
    <s v="Private"/>
    <s v="XR, immersive commerce, AI media"/>
    <b v="0"/>
    <s v="Closed source"/>
    <s v="Crunchbase"/>
    <n v="2025"/>
    <s v="Unicorn ($1B+)"/>
    <b v="1"/>
  </r>
  <r>
    <s v="xAI"/>
    <d v="2025-07-15T00:00:00"/>
    <s v="Series C"/>
    <n v="10000"/>
    <s v="Valor Capital, Qatar Investment Authority"/>
    <s v="Kingdom Holding (Prince Al Waleed), Nvidia"/>
    <s v="Foundation Model / LLM"/>
    <s v="General-Purpose AI"/>
    <x v="0"/>
    <n v="2023"/>
    <s v="Elon Musk"/>
    <n v="600"/>
    <s v="-"/>
    <s v="Private"/>
    <s v="Grok, Grok 4, Colossus supercomputer"/>
    <b v="1"/>
    <s v="Open source"/>
    <s v="Bloomberg (Musk disputes figures)"/>
    <n v="2025"/>
    <s v="Mega ($10B+)"/>
    <b v="1"/>
  </r>
  <r>
    <s v="Thinking Machines Lab"/>
    <d v="2025-07-15T00:00:00"/>
    <s v="Seed"/>
    <n v="2000"/>
    <s v="Andreessen Horowitz"/>
    <s v="Nvidia, Accel, AMD, Cisco"/>
    <s v="Foundation Model / LLM"/>
    <s v="AI Research"/>
    <x v="0"/>
    <n v="2024"/>
    <s v="Mira Murati"/>
    <n v="30"/>
    <s v="-"/>
    <s v="Private"/>
    <s v="Foundation models (stealth)"/>
    <b v="0"/>
    <s v="Closed source"/>
    <s v="Crunchbase, TechCrunch"/>
    <n v="2025"/>
    <s v="Unicorn ($1B+)"/>
    <b v="1"/>
  </r>
  <r>
    <s v="Scale AI"/>
    <d v="2025-06-15T00:00:00"/>
    <s v="Strategic Investment"/>
    <n v="14300"/>
    <s v="Meta (49% stake)"/>
    <s v="None disclosed"/>
    <s v="AI Infrastructure"/>
    <s v="Data Labeling / Training Data"/>
    <x v="0"/>
    <n v="2016"/>
    <s v="Alexandr Wang (moved to Meta)"/>
    <n v="1200"/>
    <n v="1400"/>
    <s v="Private"/>
    <s v="Data labeling, RLHF, AI infrastructure"/>
    <b v="0"/>
    <s v="Closed source"/>
    <s v="Bloomberg, TechCrunch"/>
    <n v="2025"/>
    <s v="Mega ($10B+)"/>
    <b v="1"/>
  </r>
  <r>
    <s v="Ambience Healthcare"/>
    <d v="2025-06-01T00:00:00"/>
    <s v="Series C"/>
    <n v="243"/>
    <s v="Oak HC/FT, a16z"/>
    <s v="Kleiner Perkins, OpenAI Startup Fund"/>
    <s v="AI Application"/>
    <s v="Healthcare AI"/>
    <x v="0"/>
    <n v="2020"/>
    <s v="Mike Ng"/>
    <n v="300"/>
    <s v="-"/>
    <s v="Private"/>
    <s v="AI medical documentation, clinical AI OS"/>
    <b v="0"/>
    <s v="Closed source"/>
    <s v="TechCrunch"/>
    <n v="2025"/>
    <s v="Growth ($100M+)"/>
    <b v="1"/>
  </r>
  <r>
    <s v="Perplexity AI"/>
    <d v="2025-05-01T00:00:00"/>
    <s v="Series E"/>
    <n v="500"/>
    <s v="Accel"/>
    <s v="IVP, Nvidia, Bezos Expeditions"/>
    <s v="AI Application"/>
    <s v="AI Search Engine"/>
    <x v="0"/>
    <n v="2022"/>
    <s v="Aravind Srinivas"/>
    <n v="250"/>
    <n v="150"/>
    <s v="Private"/>
    <s v="Perplexity Search, Perplexity Pro"/>
    <b v="0"/>
    <s v="Closed source"/>
    <s v="Forbes, TechCrunch"/>
    <n v="2025"/>
    <s v="Large ($500M+)"/>
    <b v="1"/>
  </r>
  <r>
    <s v="OpenAI"/>
    <d v="2025-04-02T00:00:00"/>
    <s v="Series F"/>
    <n v="40000"/>
    <s v="SoftBank"/>
    <s v="Microsoft, Coatue, Thrive Capital"/>
    <s v="Foundation Model / LLM"/>
    <s v="General-Purpose AI"/>
    <x v="0"/>
    <n v="2015"/>
    <s v="Sam Altman"/>
    <n v="3700"/>
    <n v="11600"/>
    <s v="Private (IPO rumored)"/>
    <s v="ChatGPT, GPT-4o, DALL-E, Sora"/>
    <b v="0"/>
    <s v="Closed source"/>
    <s v="CNBC, Reuters, Crunchbase"/>
    <n v="2025"/>
    <s v="Mega ($10B+)"/>
    <b v="1"/>
  </r>
  <r>
    <s v="Safe Superintelligence (SSI)"/>
    <d v="2025-04-01T00:00:00"/>
    <s v="Series A"/>
    <n v="2000"/>
    <s v="Greenoaks Capital Partners"/>
    <s v="a16z, Sequoia, DST Global"/>
    <s v="Foundation Model / LLM"/>
    <s v="AI Safety Research"/>
    <x v="0"/>
    <n v="2024"/>
    <s v="Ilya Sutskever"/>
    <n v="30"/>
    <s v="-"/>
    <s v="Private"/>
    <s v="Safe superintelligence (stealth)"/>
    <b v="0"/>
    <s v="Closed source"/>
    <s v="Bloomberg, Crunchbase"/>
    <n v="2025"/>
    <s v="Unicorn ($1B+)"/>
    <b v="1"/>
  </r>
  <r>
    <s v="Anthropic"/>
    <d v="2025-03-03T00:00:00"/>
    <s v="Series E Extension"/>
    <n v="3500"/>
    <s v="Lightspeed Venture Partners"/>
    <s v="Salesforce Ventures, Menlo Ventures, General Catalyst"/>
    <s v="Foundation Model / LLM"/>
    <s v="AI Safety Research"/>
    <x v="0"/>
    <n v="2021"/>
    <s v="Dario Amodei"/>
    <n v="1400"/>
    <n v="2800"/>
    <s v="Private"/>
    <s v="Claude, Claude API"/>
    <b v="0"/>
    <s v="Closed source"/>
    <s v="TechCrunch"/>
    <n v="2025"/>
    <s v="Unicorn ($1B+)"/>
    <b v="1"/>
  </r>
  <r>
    <s v="Together AI"/>
    <d v="2025-02-20T00:00:00"/>
    <s v="Series B"/>
    <n v="305"/>
    <s v="Prosperity7, General Catalyst"/>
    <s v="Salesforce Ventures, Nvidia, Lux Capital"/>
    <s v="AI Infrastructure"/>
    <s v="Open Source AI Platform"/>
    <x v="0"/>
    <n v="2022"/>
    <s v="Vipul Ved Prakash"/>
    <n v="200"/>
    <n v="100"/>
    <s v="Private"/>
    <s v="Together Inference, Together Fine-Tuning"/>
    <b v="1"/>
    <s v="Open source"/>
    <s v="TechCrunch"/>
    <n v="2025"/>
    <s v="Growth ($100M+)"/>
    <b v="1"/>
  </r>
  <r>
    <s v="Lambda"/>
    <d v="2025-02-19T00:00:00"/>
    <s v="Series D"/>
    <n v="480"/>
    <s v="SGW, Andra Capital"/>
    <s v="Nvidia, G Squared, ARK Invest"/>
    <s v="AI Infrastructure"/>
    <s v="GPU Cloud Computing"/>
    <x v="0"/>
    <n v="2012"/>
    <s v="Stephen Balaban"/>
    <n v="400"/>
    <n v="500"/>
    <s v="Private"/>
    <s v="Lambda Cloud, GPU clusters"/>
    <b v="0"/>
    <s v="Closed source"/>
    <s v="TechCrunch"/>
    <n v="2025"/>
    <s v="Growth ($100M+)"/>
    <b v="1"/>
  </r>
  <r>
    <s v="Mistral AI"/>
    <d v="2025-01-27T00:00:00"/>
    <s v="Series C"/>
    <n v="2000"/>
    <s v="General Catalyst, Bpifrance"/>
    <s v="a16z, Lightspeed, Samsung, IBM"/>
    <s v="Foundation Model / LLM"/>
    <s v="Open-Weight AI Models"/>
    <x v="1"/>
    <n v="2023"/>
    <s v="Arthur Mensch"/>
    <n v="700"/>
    <n v="300"/>
    <s v="Private"/>
    <s v="Mistral Large 2, Codestral, Le Chat"/>
    <b v="1"/>
    <s v="Open source"/>
    <s v="TechCrunch, Les Echos"/>
    <n v="2025"/>
    <s v="Unicorn ($1B+)"/>
    <b v="0"/>
  </r>
  <r>
    <s v="xAI"/>
    <d v="2024-12-23T00:00:00"/>
    <s v="Series C"/>
    <n v="6000"/>
    <s v="Various (undisclosed)"/>
    <s v="Nvidia, A-Cap, Valor Equity Partners"/>
    <s v="Foundation Model / LLM"/>
    <s v="General-Purpose AI"/>
    <x v="0"/>
    <n v="2023"/>
    <s v="Elon Musk"/>
    <n v="400"/>
    <s v="-"/>
    <s v="Private"/>
    <s v="Grok 2, Colossus"/>
    <b v="1"/>
    <s v="Open source"/>
    <s v="Bloomberg, SEC filing"/>
    <n v="2024"/>
    <s v="Unicorn ($1B+)"/>
    <b v="1"/>
  </r>
  <r>
    <s v="CoreWeave"/>
    <d v="2024-11-21T00:00:00"/>
    <s v="Series C"/>
    <n v="650"/>
    <s v="Jane Street Capital"/>
    <s v="Fidelity, Coatue, Magnetar"/>
    <s v="AI Infrastructure"/>
    <s v="GPU Cloud Computing"/>
    <x v="0"/>
    <n v="2017"/>
    <s v="Michael Intrator"/>
    <n v="1300"/>
    <n v="1900"/>
    <s v="IPO March 2025 (CRWV)"/>
    <s v="GPU cloud, AI training clusters"/>
    <b v="0"/>
    <s v="Closed source"/>
    <s v="Bloomberg, Crunchbase"/>
    <n v="2024"/>
    <s v="Large ($500M+)"/>
    <b v="1"/>
  </r>
  <r>
    <s v="OpenAI"/>
    <d v="2024-10-02T00:00:00"/>
    <s v="Series E"/>
    <n v="6600"/>
    <s v="Thrive Capital"/>
    <s v="Microsoft, Nvidia, SoftBank, Khosla Ventures, Tiger Global"/>
    <s v="Foundation Model / LLM"/>
    <s v="General-Purpose AI"/>
    <x v="0"/>
    <n v="2015"/>
    <s v="Sam Altman"/>
    <n v="3000"/>
    <n v="5400"/>
    <s v="Private"/>
    <s v="ChatGPT, GPT-4, DALL-E 3, Sora"/>
    <b v="0"/>
    <s v="Closed source"/>
    <s v="SEC filing, TechCrunch"/>
    <n v="2024"/>
    <s v="Unicorn ($1B+)"/>
    <b v="1"/>
  </r>
  <r>
    <s v="Databricks"/>
    <d v="2024-09-19T00:00:00"/>
    <s v="Series I"/>
    <n v="10000"/>
    <s v="Thrive Capital"/>
    <s v="a16z, DST Global, GIC, Iconiq"/>
    <s v="AI Infrastructure"/>
    <s v="Data Platform / ML Infrastructure"/>
    <x v="0"/>
    <n v="2013"/>
    <s v="Ali Ghodsi"/>
    <n v="6000"/>
    <n v="2400"/>
    <s v="Private"/>
    <s v="Databricks Lakehouse, Mosaic ML"/>
    <b v="1"/>
    <s v="Open source"/>
    <s v="Bloomberg"/>
    <n v="2024"/>
    <s v="Mega ($10B+)"/>
    <b v="1"/>
  </r>
  <r>
    <s v="Mistral AI"/>
    <d v="2024-06-11T00:00:00"/>
    <s v="Series B"/>
    <n v="640"/>
    <s v="General Catalyst"/>
    <s v="a16z, Lightspeed, BNP Paribas, Samsung"/>
    <s v="Foundation Model / LLM"/>
    <s v="Open-Weight AI Models"/>
    <x v="1"/>
    <n v="2023"/>
    <s v="Arthur Mensch"/>
    <n v="400"/>
    <n v="80"/>
    <s v="Private"/>
    <s v="Mistral Large, Mixtral, Le Chat"/>
    <b v="1"/>
    <s v="Open source"/>
    <s v="TechCrunch, Les Echos"/>
    <n v="2024"/>
    <s v="Large ($500M+)"/>
    <b v="0"/>
  </r>
  <r>
    <s v="Wayve"/>
    <d v="2024-05-07T00:00:00"/>
    <s v="Series C"/>
    <n v="1050"/>
    <s v="SoftBank Vision Fund"/>
    <s v="Nvidia, Microsoft, Eclipse Ventures"/>
    <s v="AI Application"/>
    <s v="Autonomous Driving"/>
    <x v="2"/>
    <n v="2017"/>
    <s v="Alex Kendall"/>
    <n v="350"/>
    <s v="-"/>
    <s v="Private"/>
    <s v="LINGO-2, AI driving platform"/>
    <b v="0"/>
    <s v="Closed source"/>
    <s v="TechCrunch, Financial Times"/>
    <n v="2024"/>
    <s v="Unicorn ($1B+)"/>
    <b v="0"/>
  </r>
  <r>
    <s v="Anthropic"/>
    <d v="2024-03-01T00:00:00"/>
    <s v="Series D"/>
    <n v="2750"/>
    <s v="Menlo Ventures"/>
    <s v="Google, Spark Capital, Salesforce Ventures"/>
    <s v="Foundation Model / LLM"/>
    <s v="AI Safety Research"/>
    <x v="0"/>
    <n v="2021"/>
    <s v="Dario Amodei"/>
    <n v="1000"/>
    <n v="850"/>
    <s v="Private"/>
    <s v="Claude 3, Claude API"/>
    <b v="0"/>
    <s v="Closed source"/>
    <s v="TechCrunch, SEC filing"/>
    <n v="2024"/>
    <s v="Unicorn ($1B+)"/>
    <b v="1"/>
  </r>
  <r>
    <s v="Figure AI"/>
    <d v="2024-02-29T00:00:00"/>
    <s v="Series B"/>
    <n v="675"/>
    <s v="Microsoft, Nvidia, OpenAI Startup Fund"/>
    <s v="Jeff Bezos, Intel, Samsung, Parkway Venture Capital"/>
    <s v="AI Application"/>
    <s v="Humanoid Robotics"/>
    <x v="0"/>
    <n v="2022"/>
    <s v="Brett Adcock"/>
    <n v="700"/>
    <s v="-"/>
    <s v="Private"/>
    <s v="Figure 01, Figure 02 humanoid robots"/>
    <b v="0"/>
    <s v="Closed source"/>
    <s v="Bloomberg, TechCrunch"/>
    <n v="2024"/>
    <s v="Large ($500M+)"/>
    <b v="1"/>
  </r>
  <r>
    <s v="Anthropic"/>
    <d v="2023-09-25T00:00:00"/>
    <s v="Strategic Investment"/>
    <n v="4000"/>
    <s v="Amazon"/>
    <s v="None disclosed"/>
    <s v="Foundation Model / LLM"/>
    <s v="AI Safety Research"/>
    <x v="0"/>
    <n v="2021"/>
    <s v="Dario Amodei"/>
    <n v="500"/>
    <n v="200"/>
    <s v="Private"/>
    <s v="Claude 2, Claude API"/>
    <b v="0"/>
    <s v="Closed source"/>
    <s v="Amazon press release, WSJ"/>
    <n v="2023"/>
    <s v="Unicorn ($1B+)"/>
    <b v="1"/>
  </r>
  <r>
    <s v="Hugging Face"/>
    <d v="2023-08-24T00:00:00"/>
    <s v="Series D"/>
    <n v="235"/>
    <s v="Google, Amazon, Nvidia"/>
    <s v="Salesforce, AMD, Intel, IBM, Qualcomm"/>
    <s v="AI Infrastructure"/>
    <s v="Open Source AI Platform"/>
    <x v="0"/>
    <n v="2016"/>
    <s v="Clem Delangue"/>
    <n v="250"/>
    <n v="70"/>
    <s v="Private"/>
    <s v="Hugging Face Hub, Transformers, Inference API"/>
    <b v="1"/>
    <s v="Open source"/>
    <s v="TechCrunch, Hugging Face blog"/>
    <n v="2023"/>
    <s v="Growth ($100M+)"/>
    <b v="1"/>
  </r>
  <r>
    <s v="Inflection AI"/>
    <d v="2023-06-29T00:00:00"/>
    <s v="Series B"/>
    <n v="1300"/>
    <s v="Microsoft, Nvidia, Reid Hoffman"/>
    <s v="Bill Gates, Eric Schmidt, Greylock"/>
    <s v="Foundation Model / LLM"/>
    <s v="Personal AI Assistant"/>
    <x v="0"/>
    <n v="2022"/>
    <s v="Mustafa Suleyman (left for Microsoft)"/>
    <n v="200"/>
    <s v="-"/>
    <s v="Effectively Acquired by Microsoft"/>
    <s v="Pi personal AI (wound down)"/>
    <b v="0"/>
    <s v="Closed source"/>
    <s v="NYT, Bloomberg"/>
    <n v="2023"/>
    <s v="Unicorn ($1B+)"/>
    <b v="1"/>
  </r>
  <r>
    <s v="Cohere"/>
    <d v="2023-06-08T00:00:00"/>
    <s v="Series C"/>
    <n v="270"/>
    <s v="Inovia Capital"/>
    <s v="Nvidia, Oracle, Salesforce Ventures, Index Ventures"/>
    <s v="Foundation Model / LLM"/>
    <s v="Enterprise AI"/>
    <x v="3"/>
    <n v="2019"/>
    <s v="Aidan Gomez"/>
    <n v="450"/>
    <n v="35"/>
    <s v="Private"/>
    <s v="Command, Embed, Rerank"/>
    <b v="1"/>
    <s v="Open source"/>
    <s v="TechCrunch"/>
    <n v="2023"/>
    <s v="Growth ($100M+)"/>
    <b v="0"/>
  </r>
  <r>
    <s v="OpenAI"/>
    <d v="2023-01-23T00:00:00"/>
    <s v="Strategic Investment"/>
    <n v="10000"/>
    <s v="Microsoft"/>
    <s v="None disclosed"/>
    <s v="Foundation Model / LLM"/>
    <s v="General-Purpose AI"/>
    <x v="0"/>
    <n v="2015"/>
    <s v="Sam Altman"/>
    <n v="770"/>
    <n v="1600"/>
    <s v="Private"/>
    <s v="ChatGPT, GPT-4, DALL-E 2"/>
    <b v="0"/>
    <s v="Closed source"/>
    <s v="Microsoft blog, WSJ"/>
    <n v="2023"/>
    <s v="Mega ($10B+)"/>
    <b v="1"/>
  </r>
  <r>
    <s v="Stability AI"/>
    <d v="2022-10-17T00:00:00"/>
    <s v="Seed"/>
    <n v="101"/>
    <s v="Lightspeed, Coatue"/>
    <s v="O'Shaughnessy Ventures"/>
    <s v="Foundation Model / Image Gen"/>
    <s v="Image Generation"/>
    <x v="2"/>
    <n v="2019"/>
    <s v="Emad Mostaque (resigned 2024)"/>
    <n v="150"/>
    <n v="11"/>
    <s v="Private (struggling)"/>
    <s v="Stable Diffusion"/>
    <b v="1"/>
    <s v="Open source"/>
    <s v="Bloomberg, TechCrunch"/>
    <n v="2022"/>
    <s v="Growth ($100M+)"/>
    <b v="0"/>
  </r>
  <r>
    <s v="Adept AI"/>
    <d v="2022-04-26T00:00:00"/>
    <s v="Series A"/>
    <n v="65"/>
    <s v="Greylock Partners"/>
    <s v="Addition, Atlassian Ventures"/>
    <s v="AI Application"/>
    <s v="AI Agent / Action Models"/>
    <x v="0"/>
    <n v="2022"/>
    <s v="David Luan"/>
    <n v="40"/>
    <s v="-"/>
    <s v="Acqui-hired by Amazon 2024"/>
    <s v="ACT-1 action model"/>
    <b v="0"/>
    <s v="Closed source"/>
    <s v="TechCrunch, The Information"/>
    <n v="2022"/>
    <s v="Early (&lt;$100M)"/>
    <b v="1"/>
  </r>
  <r>
    <s v="OpenAI"/>
    <d v="2022-04-01T00:00:00"/>
    <s v="Series D"/>
    <n v="300"/>
    <s v="Tiger Global, a16z"/>
    <s v="Sequoia Capital, Bedrock"/>
    <s v="Foundation Model / LLM"/>
    <s v="General-Purpose AI"/>
    <x v="0"/>
    <n v="2015"/>
    <s v="Sam Altman"/>
    <n v="375"/>
    <n v="36"/>
    <s v="Private"/>
    <s v="GPT-3, DALL-E 2, Codex"/>
    <b v="0"/>
    <s v="Closed source"/>
    <s v="WSJ, PitchBook"/>
    <n v="2022"/>
    <s v="Growth ($100M+)"/>
    <b v="1"/>
  </r>
  <r>
    <s v="SenseTime"/>
    <d v="2021-12-20T00:00:00"/>
    <s v="IPO"/>
    <n v="740"/>
    <s v="Public Market (HKEX)"/>
    <s v="Cornerstone: CITIC, CICC, HAO Capital"/>
    <s v="AI Application"/>
    <s v="Computer Vision / Smart City"/>
    <x v="4"/>
    <n v="2014"/>
    <s v="Xu Li"/>
    <n v="6000"/>
    <n v="700"/>
    <s v="Public (HKEX: 0020)"/>
    <s v="SenseCore, facial recognition, autonomous driving"/>
    <b v="0"/>
    <s v="Closed source"/>
    <s v="HKEX filings"/>
    <n v="2021"/>
    <s v="Large ($500M+)"/>
    <b v="0"/>
  </r>
  <r>
    <s v="UiPath"/>
    <d v="2021-04-21T00:00:00"/>
    <s v="IPO"/>
    <n v="1340"/>
    <s v="Public Market (NYSE)"/>
    <s v="Morgan Stanley, JPMorgan, BofA"/>
    <s v="AI Application"/>
    <s v="Robotic Process Automation"/>
    <x v="0"/>
    <n v="2005"/>
    <s v="Daniel Dines"/>
    <n v="4000"/>
    <n v="892"/>
    <s v="Public (NYSE: PATH)"/>
    <s v="UiPath Platform, AI Center"/>
    <b v="0"/>
    <s v="Closed source"/>
    <s v="SEC S-1 filing"/>
    <n v="2021"/>
    <s v="Unicorn ($1B+)"/>
    <b v="1"/>
  </r>
  <r>
    <s v="Palantir"/>
    <d v="2020-09-30T00:00:00"/>
    <s v="Direct Listing"/>
    <n v="0"/>
    <s v="Public Market (NYSE)"/>
    <s v="N/A"/>
    <s v="AI Application"/>
    <s v="Data Analytics / Defense AI"/>
    <x v="0"/>
    <n v="2003"/>
    <s v="Alex Karp"/>
    <n v="2400"/>
    <n v="1093"/>
    <s v="Public (NYSE: PLTR)"/>
    <s v="Foundry, Gotham, AIP"/>
    <b v="0"/>
    <s v="Closed source"/>
    <s v="SEC filing"/>
    <n v="2020"/>
    <s v="Early (&lt;$100M)"/>
    <b v="1"/>
  </r>
  <r>
    <s v="OpenAI"/>
    <d v="2019-07-22T00:00:00"/>
    <s v="Strategic Investment"/>
    <n v="1000"/>
    <s v="Microsoft"/>
    <s v="None disclosed"/>
    <s v="Foundation Model / LLM"/>
    <s v="General-Purpose AI"/>
    <x v="0"/>
    <n v="2015"/>
    <s v="Sam Altman"/>
    <n v="120"/>
    <s v="-"/>
    <s v="Private"/>
    <s v="GPT-2, OpenAI Five"/>
    <b v="1"/>
    <s v="Open source"/>
    <s v="Microsoft blog"/>
    <n v="2019"/>
    <s v="Unicorn ($1B+)"/>
    <b v="1"/>
  </r>
  <r>
    <s v="Deepmind"/>
    <d v="2014-01-26T00:00:00"/>
    <s v="Acquisition"/>
    <n v="500"/>
    <s v="Google (acquirer)"/>
    <s v="N/A"/>
    <s v="Foundation Model / Research"/>
    <s v="AI Research Lab"/>
    <x v="2"/>
    <n v="2010"/>
    <s v="Demis Hassabis"/>
    <n v="400"/>
    <s v="-"/>
    <s v="Acquired by Google"/>
    <s v="AlphaFold, Gemini, AlphaGo"/>
    <b v="1"/>
    <s v="Open source"/>
    <s v="The Information, Google"/>
    <n v="2014"/>
    <s v="Large ($500M+)"/>
    <b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Databricks"/>
    <d v="2025-12-01T00:00:00"/>
    <s v="Series J"/>
    <n v="5000"/>
    <s v="Thrive Capital"/>
    <s v="a16z, DST Global, Insight Partners"/>
    <s v="AI Infrastructure"/>
    <s v="Data Platform / ML Infrastructure"/>
    <s v="United States"/>
    <n v="2013"/>
    <s v="Ali Ghodsi"/>
    <n v="7000"/>
    <n v="3500"/>
    <s v="Private (IPO expected 2026)"/>
    <s v="Databricks Lakehouse, Mosaic ML, Unity Catalog"/>
    <b v="1"/>
    <s v="Open source"/>
    <s v="Bloomberg, TechCrunch"/>
    <n v="2025"/>
    <x v="0"/>
    <b v="1"/>
  </r>
  <r>
    <s v="Anysphere (Cursor)"/>
    <d v="2025-11-13T00:00:00"/>
    <s v="Series C"/>
    <n v="2300"/>
    <s v="Accel, Coatue"/>
    <s v="Thrive Capital, DST Global, Google, Nvidia"/>
    <s v="AI Application"/>
    <s v="AI Coding Assistant"/>
    <s v="United States"/>
    <n v="2022"/>
    <s v="Michael Truell"/>
    <n v="100"/>
    <n v="500"/>
    <s v="Private"/>
    <s v="Cursor AI IDE"/>
    <b v="0"/>
    <s v="Closed source"/>
    <s v="TechCrunch, Bloomberg"/>
    <n v="2025"/>
    <x v="0"/>
    <b v="1"/>
  </r>
  <r>
    <s v="Project Prometheus"/>
    <d v="2025-11-01T00:00:00"/>
    <s v="Seed / Launch"/>
    <n v="6200"/>
    <s v="Undisclosed"/>
    <s v="Jeff Bezos (co-CEO)"/>
    <s v="AI for Physical World"/>
    <s v="Engineering / Manufacturing AI"/>
    <s v="United States"/>
    <n v="2025"/>
    <s v="Jeff Bezos, Vik Bajaj"/>
    <n v="50"/>
    <s v="-"/>
    <s v="Private"/>
    <s v="AI for physical economy"/>
    <b v="0"/>
    <s v="Closed source"/>
    <s v="Crunchbase"/>
    <n v="2025"/>
    <x v="0"/>
    <b v="1"/>
  </r>
  <r>
    <s v="Anthropic"/>
    <d v="2025-09-02T00:00:00"/>
    <s v="Series F"/>
    <n v="13000"/>
    <s v="Iconiq Capital, Fidelity, Lightspeed"/>
    <s v="BlackRock, Blackstone, Coatue, Qatar Investment Authority"/>
    <s v="Foundation Model / LLM"/>
    <s v="AI Safety Research"/>
    <s v="United States"/>
    <n v="2021"/>
    <s v="Dario Amodei"/>
    <n v="1600"/>
    <n v="4000"/>
    <s v="Private"/>
    <s v="Claude, Claude API, Constitutional AI"/>
    <b v="0"/>
    <s v="Closed source"/>
    <s v="TechCrunch, Crunchbase"/>
    <n v="2025"/>
    <x v="1"/>
    <b v="1"/>
  </r>
  <r>
    <s v="Anduril Industries"/>
    <d v="2025-08-15T00:00:00"/>
    <s v="Series F"/>
    <n v="2500"/>
    <s v="Founders Fund"/>
    <s v="a16z, 8VC, General Catalyst, Lux Capital"/>
    <s v="AI Application"/>
    <s v="Defense AI"/>
    <s v="United States"/>
    <n v="2017"/>
    <s v="Palmer Luckey"/>
    <n v="4500"/>
    <n v="1000"/>
    <s v="Private"/>
    <s v="Lattice, Ghost, ALTIUS, Menace"/>
    <b v="0"/>
    <s v="Closed source"/>
    <s v="TechCrunch, Reuters"/>
    <n v="2025"/>
    <x v="0"/>
    <b v="1"/>
  </r>
  <r>
    <s v="Infinite Reality"/>
    <d v="2025-08-01T00:00:00"/>
    <s v="Growth Equity"/>
    <n v="3000"/>
    <s v="Private investor (undisclosed)"/>
    <s v="None disclosed"/>
    <s v="AI Application"/>
    <s v="XR / Immersive AI"/>
    <s v="United States"/>
    <n v="2019"/>
    <s v="Amish Shah"/>
    <n v="500"/>
    <s v="-"/>
    <s v="Private"/>
    <s v="XR, immersive commerce, AI media"/>
    <b v="0"/>
    <s v="Closed source"/>
    <s v="Crunchbase"/>
    <n v="2025"/>
    <x v="0"/>
    <b v="1"/>
  </r>
  <r>
    <s v="xAI"/>
    <d v="2025-07-15T00:00:00"/>
    <s v="Series C"/>
    <n v="10000"/>
    <s v="Valor Capital, Qatar Investment Authority"/>
    <s v="Kingdom Holding (Prince Al Waleed), Nvidia"/>
    <s v="Foundation Model / LLM"/>
    <s v="General-Purpose AI"/>
    <s v="United States"/>
    <n v="2023"/>
    <s v="Elon Musk"/>
    <n v="600"/>
    <s v="-"/>
    <s v="Private"/>
    <s v="Grok, Grok 4, Colossus supercomputer"/>
    <b v="1"/>
    <s v="Open source"/>
    <s v="Bloomberg (Musk disputes figures)"/>
    <n v="2025"/>
    <x v="1"/>
    <b v="1"/>
  </r>
  <r>
    <s v="Thinking Machines Lab"/>
    <d v="2025-07-15T00:00:00"/>
    <s v="Seed"/>
    <n v="2000"/>
    <s v="Andreessen Horowitz"/>
    <s v="Nvidia, Accel, AMD, Cisco"/>
    <s v="Foundation Model / LLM"/>
    <s v="AI Research"/>
    <s v="United States"/>
    <n v="2024"/>
    <s v="Mira Murati"/>
    <n v="30"/>
    <s v="-"/>
    <s v="Private"/>
    <s v="Foundation models (stealth)"/>
    <b v="0"/>
    <s v="Closed source"/>
    <s v="Crunchbase, TechCrunch"/>
    <n v="2025"/>
    <x v="0"/>
    <b v="1"/>
  </r>
  <r>
    <s v="Scale AI"/>
    <d v="2025-06-15T00:00:00"/>
    <s v="Strategic Investment"/>
    <n v="14300"/>
    <s v="Meta (49% stake)"/>
    <s v="None disclosed"/>
    <s v="AI Infrastructure"/>
    <s v="Data Labeling / Training Data"/>
    <s v="United States"/>
    <n v="2016"/>
    <s v="Alexandr Wang (moved to Meta)"/>
    <n v="1200"/>
    <n v="1400"/>
    <s v="Private"/>
    <s v="Data labeling, RLHF, AI infrastructure"/>
    <b v="0"/>
    <s v="Closed source"/>
    <s v="Bloomberg, TechCrunch"/>
    <n v="2025"/>
    <x v="1"/>
    <b v="1"/>
  </r>
  <r>
    <s v="Ambience Healthcare"/>
    <d v="2025-06-01T00:00:00"/>
    <s v="Series C"/>
    <n v="243"/>
    <s v="Oak HC/FT, a16z"/>
    <s v="Kleiner Perkins, OpenAI Startup Fund"/>
    <s v="AI Application"/>
    <s v="Healthcare AI"/>
    <s v="United States"/>
    <n v="2020"/>
    <s v="Mike Ng"/>
    <n v="300"/>
    <s v="-"/>
    <s v="Private"/>
    <s v="AI medical documentation, clinical AI OS"/>
    <b v="0"/>
    <s v="Closed source"/>
    <s v="TechCrunch"/>
    <n v="2025"/>
    <x v="2"/>
    <b v="1"/>
  </r>
  <r>
    <s v="Perplexity AI"/>
    <d v="2025-05-01T00:00:00"/>
    <s v="Series E"/>
    <n v="500"/>
    <s v="Accel"/>
    <s v="IVP, Nvidia, Bezos Expeditions"/>
    <s v="AI Application"/>
    <s v="AI Search Engine"/>
    <s v="United States"/>
    <n v="2022"/>
    <s v="Aravind Srinivas"/>
    <n v="250"/>
    <n v="150"/>
    <s v="Private"/>
    <s v="Perplexity Search, Perplexity Pro"/>
    <b v="0"/>
    <s v="Closed source"/>
    <s v="Forbes, TechCrunch"/>
    <n v="2025"/>
    <x v="3"/>
    <b v="1"/>
  </r>
  <r>
    <s v="OpenAI"/>
    <d v="2025-04-02T00:00:00"/>
    <s v="Series F"/>
    <n v="40000"/>
    <s v="SoftBank"/>
    <s v="Microsoft, Coatue, Thrive Capital"/>
    <s v="Foundation Model / LLM"/>
    <s v="General-Purpose AI"/>
    <s v="United States"/>
    <n v="2015"/>
    <s v="Sam Altman"/>
    <n v="3700"/>
    <n v="11600"/>
    <s v="Private (IPO rumored)"/>
    <s v="ChatGPT, GPT-4o, DALL-E, Sora"/>
    <b v="0"/>
    <s v="Closed source"/>
    <s v="CNBC, Reuters, Crunchbase"/>
    <n v="2025"/>
    <x v="1"/>
    <b v="1"/>
  </r>
  <r>
    <s v="Safe Superintelligence (SSI)"/>
    <d v="2025-04-01T00:00:00"/>
    <s v="Series A"/>
    <n v="2000"/>
    <s v="Greenoaks Capital Partners"/>
    <s v="a16z, Sequoia, DST Global"/>
    <s v="Foundation Model / LLM"/>
    <s v="AI Safety Research"/>
    <s v="United States"/>
    <n v="2024"/>
    <s v="Ilya Sutskever"/>
    <n v="30"/>
    <s v="-"/>
    <s v="Private"/>
    <s v="Safe superintelligence (stealth)"/>
    <b v="0"/>
    <s v="Closed source"/>
    <s v="Bloomberg, Crunchbase"/>
    <n v="2025"/>
    <x v="0"/>
    <b v="1"/>
  </r>
  <r>
    <s v="Anthropic"/>
    <d v="2025-03-03T00:00:00"/>
    <s v="Series E Extension"/>
    <n v="3500"/>
    <s v="Lightspeed Venture Partners"/>
    <s v="Salesforce Ventures, Menlo Ventures, General Catalyst"/>
    <s v="Foundation Model / LLM"/>
    <s v="AI Safety Research"/>
    <s v="United States"/>
    <n v="2021"/>
    <s v="Dario Amodei"/>
    <n v="1400"/>
    <n v="2800"/>
    <s v="Private"/>
    <s v="Claude, Claude API"/>
    <b v="0"/>
    <s v="Closed source"/>
    <s v="TechCrunch"/>
    <n v="2025"/>
    <x v="0"/>
    <b v="1"/>
  </r>
  <r>
    <s v="Together AI"/>
    <d v="2025-02-20T00:00:00"/>
    <s v="Series B"/>
    <n v="305"/>
    <s v="Prosperity7, General Catalyst"/>
    <s v="Salesforce Ventures, Nvidia, Lux Capital"/>
    <s v="AI Infrastructure"/>
    <s v="Open Source AI Platform"/>
    <s v="United States"/>
    <n v="2022"/>
    <s v="Vipul Ved Prakash"/>
    <n v="200"/>
    <n v="100"/>
    <s v="Private"/>
    <s v="Together Inference, Together Fine-Tuning"/>
    <b v="1"/>
    <s v="Open source"/>
    <s v="TechCrunch"/>
    <n v="2025"/>
    <x v="2"/>
    <b v="1"/>
  </r>
  <r>
    <s v="Lambda"/>
    <d v="2025-02-19T00:00:00"/>
    <s v="Series D"/>
    <n v="480"/>
    <s v="SGW, Andra Capital"/>
    <s v="Nvidia, G Squared, ARK Invest"/>
    <s v="AI Infrastructure"/>
    <s v="GPU Cloud Computing"/>
    <s v="United States"/>
    <n v="2012"/>
    <s v="Stephen Balaban"/>
    <n v="400"/>
    <n v="500"/>
    <s v="Private"/>
    <s v="Lambda Cloud, GPU clusters"/>
    <b v="0"/>
    <s v="Closed source"/>
    <s v="TechCrunch"/>
    <n v="2025"/>
    <x v="2"/>
    <b v="1"/>
  </r>
  <r>
    <s v="Mistral AI"/>
    <d v="2025-01-27T00:00:00"/>
    <s v="Series C"/>
    <n v="2000"/>
    <s v="General Catalyst, Bpifrance"/>
    <s v="a16z, Lightspeed, Samsung, IBM"/>
    <s v="Foundation Model / LLM"/>
    <s v="Open-Weight AI Models"/>
    <s v="France"/>
    <n v="2023"/>
    <s v="Arthur Mensch"/>
    <n v="700"/>
    <n v="300"/>
    <s v="Private"/>
    <s v="Mistral Large 2, Codestral, Le Chat"/>
    <b v="1"/>
    <s v="Open source"/>
    <s v="TechCrunch, Les Echos"/>
    <n v="2025"/>
    <x v="0"/>
    <b v="0"/>
  </r>
  <r>
    <s v="xAI"/>
    <d v="2024-12-23T00:00:00"/>
    <s v="Series C"/>
    <n v="6000"/>
    <s v="Various (undisclosed)"/>
    <s v="Nvidia, A-Cap, Valor Equity Partners"/>
    <s v="Foundation Model / LLM"/>
    <s v="General-Purpose AI"/>
    <s v="United States"/>
    <n v="2023"/>
    <s v="Elon Musk"/>
    <n v="400"/>
    <s v="-"/>
    <s v="Private"/>
    <s v="Grok 2, Colossus"/>
    <b v="1"/>
    <s v="Open source"/>
    <s v="Bloomberg, SEC filing"/>
    <n v="2024"/>
    <x v="0"/>
    <b v="1"/>
  </r>
  <r>
    <s v="CoreWeave"/>
    <d v="2024-11-21T00:00:00"/>
    <s v="Series C"/>
    <n v="650"/>
    <s v="Jane Street Capital"/>
    <s v="Fidelity, Coatue, Magnetar"/>
    <s v="AI Infrastructure"/>
    <s v="GPU Cloud Computing"/>
    <s v="United States"/>
    <n v="2017"/>
    <s v="Michael Intrator"/>
    <n v="1300"/>
    <n v="1900"/>
    <s v="IPO March 2025 (CRWV)"/>
    <s v="GPU cloud, AI training clusters"/>
    <b v="0"/>
    <s v="Closed source"/>
    <s v="Bloomberg, Crunchbase"/>
    <n v="2024"/>
    <x v="3"/>
    <b v="1"/>
  </r>
  <r>
    <s v="OpenAI"/>
    <d v="2024-10-02T00:00:00"/>
    <s v="Series E"/>
    <n v="6600"/>
    <s v="Thrive Capital"/>
    <s v="Microsoft, Nvidia, SoftBank, Khosla Ventures, Tiger Global"/>
    <s v="Foundation Model / LLM"/>
    <s v="General-Purpose AI"/>
    <s v="United States"/>
    <n v="2015"/>
    <s v="Sam Altman"/>
    <n v="3000"/>
    <n v="5400"/>
    <s v="Private"/>
    <s v="ChatGPT, GPT-4, DALL-E 3, Sora"/>
    <b v="0"/>
    <s v="Closed source"/>
    <s v="SEC filing, TechCrunch"/>
    <n v="2024"/>
    <x v="0"/>
    <b v="1"/>
  </r>
  <r>
    <s v="Databricks"/>
    <d v="2024-09-19T00:00:00"/>
    <s v="Series I"/>
    <n v="10000"/>
    <s v="Thrive Capital"/>
    <s v="a16z, DST Global, GIC, Iconiq"/>
    <s v="AI Infrastructure"/>
    <s v="Data Platform / ML Infrastructure"/>
    <s v="United States"/>
    <n v="2013"/>
    <s v="Ali Ghodsi"/>
    <n v="6000"/>
    <n v="2400"/>
    <s v="Private"/>
    <s v="Databricks Lakehouse, Mosaic ML"/>
    <b v="1"/>
    <s v="Open source"/>
    <s v="Bloomberg"/>
    <n v="2024"/>
    <x v="1"/>
    <b v="1"/>
  </r>
  <r>
    <s v="Mistral AI"/>
    <d v="2024-06-11T00:00:00"/>
    <s v="Series B"/>
    <n v="640"/>
    <s v="General Catalyst"/>
    <s v="a16z, Lightspeed, BNP Paribas, Samsung"/>
    <s v="Foundation Model / LLM"/>
    <s v="Open-Weight AI Models"/>
    <s v="France"/>
    <n v="2023"/>
    <s v="Arthur Mensch"/>
    <n v="400"/>
    <n v="80"/>
    <s v="Private"/>
    <s v="Mistral Large, Mixtral, Le Chat"/>
    <b v="1"/>
    <s v="Open source"/>
    <s v="TechCrunch, Les Echos"/>
    <n v="2024"/>
    <x v="3"/>
    <b v="0"/>
  </r>
  <r>
    <s v="Wayve"/>
    <d v="2024-05-07T00:00:00"/>
    <s v="Series C"/>
    <n v="1050"/>
    <s v="SoftBank Vision Fund"/>
    <s v="Nvidia, Microsoft, Eclipse Ventures"/>
    <s v="AI Application"/>
    <s v="Autonomous Driving"/>
    <s v="United Kingdom"/>
    <n v="2017"/>
    <s v="Alex Kendall"/>
    <n v="350"/>
    <s v="-"/>
    <s v="Private"/>
    <s v="LINGO-2, AI driving platform"/>
    <b v="0"/>
    <s v="Closed source"/>
    <s v="TechCrunch, Financial Times"/>
    <n v="2024"/>
    <x v="0"/>
    <b v="0"/>
  </r>
  <r>
    <s v="Anthropic"/>
    <d v="2024-03-01T00:00:00"/>
    <s v="Series D"/>
    <n v="2750"/>
    <s v="Menlo Ventures"/>
    <s v="Google, Spark Capital, Salesforce Ventures"/>
    <s v="Foundation Model / LLM"/>
    <s v="AI Safety Research"/>
    <s v="United States"/>
    <n v="2021"/>
    <s v="Dario Amodei"/>
    <n v="1000"/>
    <n v="850"/>
    <s v="Private"/>
    <s v="Claude 3, Claude API"/>
    <b v="0"/>
    <s v="Closed source"/>
    <s v="TechCrunch, SEC filing"/>
    <n v="2024"/>
    <x v="0"/>
    <b v="1"/>
  </r>
  <r>
    <s v="Figure AI"/>
    <d v="2024-02-29T00:00:00"/>
    <s v="Series B"/>
    <n v="675"/>
    <s v="Microsoft, Nvidia, OpenAI Startup Fund"/>
    <s v="Jeff Bezos, Intel, Samsung, Parkway Venture Capital"/>
    <s v="AI Application"/>
    <s v="Humanoid Robotics"/>
    <s v="United States"/>
    <n v="2022"/>
    <s v="Brett Adcock"/>
    <n v="700"/>
    <s v="-"/>
    <s v="Private"/>
    <s v="Figure 01, Figure 02 humanoid robots"/>
    <b v="0"/>
    <s v="Closed source"/>
    <s v="Bloomberg, TechCrunch"/>
    <n v="2024"/>
    <x v="3"/>
    <b v="1"/>
  </r>
  <r>
    <s v="Anthropic"/>
    <d v="2023-09-25T00:00:00"/>
    <s v="Strategic Investment"/>
    <n v="4000"/>
    <s v="Amazon"/>
    <s v="None disclosed"/>
    <s v="Foundation Model / LLM"/>
    <s v="AI Safety Research"/>
    <s v="United States"/>
    <n v="2021"/>
    <s v="Dario Amodei"/>
    <n v="500"/>
    <n v="200"/>
    <s v="Private"/>
    <s v="Claude 2, Claude API"/>
    <b v="0"/>
    <s v="Closed source"/>
    <s v="Amazon press release, WSJ"/>
    <n v="2023"/>
    <x v="0"/>
    <b v="1"/>
  </r>
  <r>
    <s v="Hugging Face"/>
    <d v="2023-08-24T00:00:00"/>
    <s v="Series D"/>
    <n v="235"/>
    <s v="Google, Amazon, Nvidia"/>
    <s v="Salesforce, AMD, Intel, IBM, Qualcomm"/>
    <s v="AI Infrastructure"/>
    <s v="Open Source AI Platform"/>
    <s v="United States"/>
    <n v="2016"/>
    <s v="Clem Delangue"/>
    <n v="250"/>
    <n v="70"/>
    <s v="Private"/>
    <s v="Hugging Face Hub, Transformers, Inference API"/>
    <b v="1"/>
    <s v="Open source"/>
    <s v="TechCrunch, Hugging Face blog"/>
    <n v="2023"/>
    <x v="2"/>
    <b v="1"/>
  </r>
  <r>
    <s v="Inflection AI"/>
    <d v="2023-06-29T00:00:00"/>
    <s v="Series B"/>
    <n v="1300"/>
    <s v="Microsoft, Nvidia, Reid Hoffman"/>
    <s v="Bill Gates, Eric Schmidt, Greylock"/>
    <s v="Foundation Model / LLM"/>
    <s v="Personal AI Assistant"/>
    <s v="United States"/>
    <n v="2022"/>
    <s v="Mustafa Suleyman (left for Microsoft)"/>
    <n v="200"/>
    <s v="-"/>
    <s v="Effectively Acquired by Microsoft"/>
    <s v="Pi personal AI (wound down)"/>
    <b v="0"/>
    <s v="Closed source"/>
    <s v="NYT, Bloomberg"/>
    <n v="2023"/>
    <x v="0"/>
    <b v="1"/>
  </r>
  <r>
    <s v="Cohere"/>
    <d v="2023-06-08T00:00:00"/>
    <s v="Series C"/>
    <n v="270"/>
    <s v="Inovia Capital"/>
    <s v="Nvidia, Oracle, Salesforce Ventures, Index Ventures"/>
    <s v="Foundation Model / LLM"/>
    <s v="Enterprise AI"/>
    <s v="Canada"/>
    <n v="2019"/>
    <s v="Aidan Gomez"/>
    <n v="450"/>
    <n v="35"/>
    <s v="Private"/>
    <s v="Command, Embed, Rerank"/>
    <b v="1"/>
    <s v="Open source"/>
    <s v="TechCrunch"/>
    <n v="2023"/>
    <x v="2"/>
    <b v="0"/>
  </r>
  <r>
    <s v="OpenAI"/>
    <d v="2023-01-23T00:00:00"/>
    <s v="Strategic Investment"/>
    <n v="10000"/>
    <s v="Microsoft"/>
    <s v="None disclosed"/>
    <s v="Foundation Model / LLM"/>
    <s v="General-Purpose AI"/>
    <s v="United States"/>
    <n v="2015"/>
    <s v="Sam Altman"/>
    <n v="770"/>
    <n v="1600"/>
    <s v="Private"/>
    <s v="ChatGPT, GPT-4, DALL-E 2"/>
    <b v="0"/>
    <s v="Closed source"/>
    <s v="Microsoft blog, WSJ"/>
    <n v="2023"/>
    <x v="1"/>
    <b v="1"/>
  </r>
  <r>
    <s v="Stability AI"/>
    <d v="2022-10-17T00:00:00"/>
    <s v="Seed"/>
    <n v="101"/>
    <s v="Lightspeed, Coatue"/>
    <s v="O'Shaughnessy Ventures"/>
    <s v="Foundation Model / Image Gen"/>
    <s v="Image Generation"/>
    <s v="United Kingdom"/>
    <n v="2019"/>
    <s v="Emad Mostaque (resigned 2024)"/>
    <n v="150"/>
    <n v="11"/>
    <s v="Private (struggling)"/>
    <s v="Stable Diffusion"/>
    <b v="1"/>
    <s v="Open source"/>
    <s v="Bloomberg, TechCrunch"/>
    <n v="2022"/>
    <x v="2"/>
    <b v="0"/>
  </r>
  <r>
    <s v="Adept AI"/>
    <d v="2022-04-26T00:00:00"/>
    <s v="Series A"/>
    <n v="65"/>
    <s v="Greylock Partners"/>
    <s v="Addition, Atlassian Ventures"/>
    <s v="AI Application"/>
    <s v="AI Agent / Action Models"/>
    <s v="United States"/>
    <n v="2022"/>
    <s v="David Luan"/>
    <n v="40"/>
    <s v="-"/>
    <s v="Acqui-hired by Amazon 2024"/>
    <s v="ACT-1 action model"/>
    <b v="0"/>
    <s v="Closed source"/>
    <s v="TechCrunch, The Information"/>
    <n v="2022"/>
    <x v="4"/>
    <b v="1"/>
  </r>
  <r>
    <s v="OpenAI"/>
    <d v="2022-04-01T00:00:00"/>
    <s v="Series D"/>
    <n v="300"/>
    <s v="Tiger Global, a16z"/>
    <s v="Sequoia Capital, Bedrock"/>
    <s v="Foundation Model / LLM"/>
    <s v="General-Purpose AI"/>
    <s v="United States"/>
    <n v="2015"/>
    <s v="Sam Altman"/>
    <n v="375"/>
    <n v="36"/>
    <s v="Private"/>
    <s v="GPT-3, DALL-E 2, Codex"/>
    <b v="0"/>
    <s v="Closed source"/>
    <s v="WSJ, PitchBook"/>
    <n v="2022"/>
    <x v="2"/>
    <b v="1"/>
  </r>
  <r>
    <s v="SenseTime"/>
    <d v="2021-12-20T00:00:00"/>
    <s v="IPO"/>
    <n v="740"/>
    <s v="Public Market (HKEX)"/>
    <s v="Cornerstone: CITIC, CICC, HAO Capital"/>
    <s v="AI Application"/>
    <s v="Computer Vision / Smart City"/>
    <s v="China"/>
    <n v="2014"/>
    <s v="Xu Li"/>
    <n v="6000"/>
    <n v="700"/>
    <s v="Public (HKEX: 0020)"/>
    <s v="SenseCore, facial recognition, autonomous driving"/>
    <b v="0"/>
    <s v="Closed source"/>
    <s v="HKEX filings"/>
    <n v="2021"/>
    <x v="3"/>
    <b v="0"/>
  </r>
  <r>
    <s v="UiPath"/>
    <d v="2021-04-21T00:00:00"/>
    <s v="IPO"/>
    <n v="1340"/>
    <s v="Public Market (NYSE)"/>
    <s v="Morgan Stanley, JPMorgan, BofA"/>
    <s v="AI Application"/>
    <s v="Robotic Process Automation"/>
    <s v="United States"/>
    <n v="2005"/>
    <s v="Daniel Dines"/>
    <n v="4000"/>
    <n v="892"/>
    <s v="Public (NYSE: PATH)"/>
    <s v="UiPath Platform, AI Center"/>
    <b v="0"/>
    <s v="Closed source"/>
    <s v="SEC S-1 filing"/>
    <n v="2021"/>
    <x v="0"/>
    <b v="1"/>
  </r>
  <r>
    <s v="Palantir"/>
    <d v="2020-09-30T00:00:00"/>
    <s v="Direct Listing"/>
    <n v="0"/>
    <s v="Public Market (NYSE)"/>
    <s v="N/A"/>
    <s v="AI Application"/>
    <s v="Data Analytics / Defense AI"/>
    <s v="United States"/>
    <n v="2003"/>
    <s v="Alex Karp"/>
    <n v="2400"/>
    <n v="1093"/>
    <s v="Public (NYSE: PLTR)"/>
    <s v="Foundry, Gotham, AIP"/>
    <b v="0"/>
    <s v="Closed source"/>
    <s v="SEC filing"/>
    <n v="2020"/>
    <x v="4"/>
    <b v="1"/>
  </r>
  <r>
    <s v="OpenAI"/>
    <d v="2019-07-22T00:00:00"/>
    <s v="Strategic Investment"/>
    <n v="1000"/>
    <s v="Microsoft"/>
    <s v="None disclosed"/>
    <s v="Foundation Model / LLM"/>
    <s v="General-Purpose AI"/>
    <s v="United States"/>
    <n v="2015"/>
    <s v="Sam Altman"/>
    <n v="120"/>
    <s v="-"/>
    <s v="Private"/>
    <s v="GPT-2, OpenAI Five"/>
    <b v="1"/>
    <s v="Open source"/>
    <s v="Microsoft blog"/>
    <n v="2019"/>
    <x v="0"/>
    <b v="1"/>
  </r>
  <r>
    <s v="Deepmind"/>
    <d v="2014-01-26T00:00:00"/>
    <s v="Acquisition"/>
    <n v="500"/>
    <s v="Google (acquirer)"/>
    <s v="N/A"/>
    <s v="Foundation Model / Research"/>
    <s v="AI Research Lab"/>
    <s v="United Kingdom"/>
    <n v="2010"/>
    <s v="Demis Hassabis"/>
    <n v="400"/>
    <s v="-"/>
    <s v="Acquired by Google"/>
    <s v="AlphaFold, Gemini, AlphaGo"/>
    <b v="1"/>
    <s v="Open source"/>
    <s v="The Information, Google"/>
    <n v="2014"/>
    <x v="3"/>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8B801-CD09-4485-8451-BC9BBBAF78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ype">
  <location ref="N4:O7" firstHeaderRow="1" firstDataRow="1" firstDataCol="1"/>
  <pivotFields count="21">
    <pivotField showAll="0">
      <items count="29">
        <item x="23"/>
        <item x="9"/>
        <item x="4"/>
        <item x="3"/>
        <item x="1"/>
        <item x="21"/>
        <item x="16"/>
        <item x="0"/>
        <item x="27"/>
        <item x="18"/>
        <item x="19"/>
        <item x="5"/>
        <item x="20"/>
        <item x="14"/>
        <item x="15"/>
        <item x="11"/>
        <item x="26"/>
        <item x="10"/>
        <item x="2"/>
        <item x="12"/>
        <item x="8"/>
        <item x="24"/>
        <item x="22"/>
        <item x="7"/>
        <item x="13"/>
        <item x="25"/>
        <item x="17"/>
        <item x="6"/>
        <item t="default"/>
      </items>
    </pivotField>
    <pivotField numFmtId="14" showAll="0"/>
    <pivotField showAll="0"/>
    <pivotField dataField="1" numFmtId="7" showAll="0"/>
    <pivotField showAll="0"/>
    <pivotField showAll="0"/>
    <pivotField showAll="0"/>
    <pivotField showAll="0"/>
    <pivotField showAll="0"/>
    <pivotField showAll="0"/>
    <pivotField showAll="0">
      <items count="29">
        <item x="21"/>
        <item x="26"/>
        <item x="17"/>
        <item x="8"/>
        <item x="0"/>
        <item x="5"/>
        <item x="10"/>
        <item x="15"/>
        <item x="18"/>
        <item x="19"/>
        <item x="25"/>
        <item x="3"/>
        <item x="23"/>
        <item x="27"/>
        <item x="6"/>
        <item x="22"/>
        <item x="12"/>
        <item x="2"/>
        <item x="16"/>
        <item x="1"/>
        <item x="9"/>
        <item x="7"/>
        <item x="20"/>
        <item x="4"/>
        <item x="11"/>
        <item x="14"/>
        <item x="13"/>
        <item x="24"/>
        <item t="default"/>
      </items>
    </pivotField>
    <pivotField showAll="0"/>
    <pivotField showAll="0">
      <items count="26">
        <item x="20"/>
        <item x="18"/>
        <item x="21"/>
        <item x="17"/>
        <item x="14"/>
        <item x="9"/>
        <item x="6"/>
        <item x="16"/>
        <item x="10"/>
        <item x="1"/>
        <item x="22"/>
        <item x="15"/>
        <item x="23"/>
        <item x="4"/>
        <item x="24"/>
        <item x="5"/>
        <item x="19"/>
        <item x="11"/>
        <item x="13"/>
        <item x="8"/>
        <item x="0"/>
        <item x="3"/>
        <item x="12"/>
        <item x="7"/>
        <item x="2"/>
        <item t="default"/>
      </items>
    </pivotField>
    <pivotField showAll="0"/>
    <pivotField showAll="0"/>
    <pivotField showAll="0">
      <items count="3">
        <item x="1"/>
        <item x="0"/>
        <item t="default"/>
      </items>
    </pivotField>
    <pivotField axis="axisRow" showAll="0">
      <items count="3">
        <item x="1"/>
        <item x="0"/>
        <item t="default"/>
      </items>
    </pivotField>
    <pivotField showAll="0">
      <items count="29">
        <item x="17"/>
        <item x="14"/>
        <item x="5"/>
        <item x="10"/>
        <item x="12"/>
        <item x="0"/>
        <item x="9"/>
        <item x="2"/>
        <item x="6"/>
        <item x="8"/>
        <item x="23"/>
        <item x="26"/>
        <item x="20"/>
        <item x="19"/>
        <item x="25"/>
        <item x="13"/>
        <item x="24"/>
        <item x="7"/>
        <item x="1"/>
        <item x="3"/>
        <item x="15"/>
        <item x="18"/>
        <item x="11"/>
        <item x="4"/>
        <item x="16"/>
        <item x="21"/>
        <item x="27"/>
        <item x="22"/>
        <item t="default"/>
      </items>
    </pivotField>
    <pivotField showAll="0"/>
    <pivotField showAll="0">
      <items count="6">
        <item x="4"/>
        <item x="2"/>
        <item x="3"/>
        <item x="1"/>
        <item x="0"/>
        <item t="default"/>
      </items>
    </pivotField>
    <pivotField showAll="0">
      <items count="3">
        <item x="1"/>
        <item x="0"/>
        <item t="default"/>
      </items>
    </pivotField>
  </pivotFields>
  <rowFields count="1">
    <field x="16"/>
  </rowFields>
  <rowItems count="3">
    <i>
      <x/>
    </i>
    <i>
      <x v="1"/>
    </i>
    <i t="grand">
      <x/>
    </i>
  </rowItems>
  <colItems count="1">
    <i/>
  </colItems>
  <dataFields count="1">
    <dataField name="fundings" fld="3" baseField="16" baseItem="0" numFmtId="7"/>
  </dataFields>
  <formats count="2">
    <format dxfId="69">
      <pivotArea dataOnly="0" labelOnly="1" outline="0" axis="axisValues" fieldPosition="0"/>
    </format>
    <format dxfId="70">
      <pivotArea field="16" type="button" dataOnly="0" labelOnly="1" outline="0" axis="axisRow"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07B02-7522-4757-B7C8-D35F9444C8DB}"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mpany" colHeaderCaption="Funding per year">
  <location ref="A3:J32" firstHeaderRow="1" firstDataRow="2" firstDataCol="1"/>
  <pivotFields count="21">
    <pivotField axis="axisRow" showAll="0">
      <items count="29">
        <item x="23"/>
        <item x="9"/>
        <item x="4"/>
        <item x="3"/>
        <item x="1"/>
        <item x="21"/>
        <item x="16"/>
        <item x="0"/>
        <item x="27"/>
        <item x="18"/>
        <item x="19"/>
        <item x="5"/>
        <item x="20"/>
        <item x="14"/>
        <item x="15"/>
        <item x="11"/>
        <item x="26"/>
        <item x="10"/>
        <item x="2"/>
        <item x="12"/>
        <item x="8"/>
        <item x="24"/>
        <item x="22"/>
        <item x="7"/>
        <item x="13"/>
        <item x="25"/>
        <item x="17"/>
        <item x="6"/>
        <item t="default"/>
      </items>
    </pivotField>
    <pivotField numFmtId="14" showAll="0"/>
    <pivotField showAll="0"/>
    <pivotField dataField="1" numFmtId="7"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Col" showAll="0">
      <items count="9">
        <item x="7"/>
        <item x="6"/>
        <item x="5"/>
        <item x="4"/>
        <item x="3"/>
        <item x="2"/>
        <item x="1"/>
        <item x="0"/>
        <item t="default"/>
      </items>
    </pivotField>
    <pivotField showAll="0"/>
    <pivotField showAll="0">
      <items count="3">
        <item x="1"/>
        <item x="0"/>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18"/>
  </colFields>
  <colItems count="9">
    <i>
      <x/>
    </i>
    <i>
      <x v="1"/>
    </i>
    <i>
      <x v="2"/>
    </i>
    <i>
      <x v="3"/>
    </i>
    <i>
      <x v="4"/>
    </i>
    <i>
      <x v="5"/>
    </i>
    <i>
      <x v="6"/>
    </i>
    <i>
      <x v="7"/>
    </i>
    <i t="grand">
      <x/>
    </i>
  </colItems>
  <dataFields count="1">
    <dataField name="Sum of Amount (millions) " fld="3" baseField="0" baseItem="0" numFmtId="7"/>
  </dataFields>
  <formats count="7">
    <format dxfId="98">
      <pivotArea dataOnly="0" labelOnly="1" fieldPosition="0">
        <references count="1">
          <reference field="18" count="0"/>
        </references>
      </pivotArea>
    </format>
    <format dxfId="97">
      <pivotArea dataOnly="0" labelOnly="1" grandCol="1" outline="0" fieldPosition="0"/>
    </format>
    <format dxfId="68">
      <pivotArea field="0" type="button" dataOnly="0" labelOnly="1" outline="0" axis="axisRow" fieldPosition="0"/>
    </format>
    <format dxfId="67">
      <pivotArea dataOnly="0" labelOnly="1" fieldPosition="0">
        <references count="1">
          <reference field="18" count="0"/>
        </references>
      </pivotArea>
    </format>
    <format dxfId="66">
      <pivotArea dataOnly="0" labelOnly="1" grandCol="1" outline="0" fieldPosition="0"/>
    </format>
    <format dxfId="65">
      <pivotArea type="origin" dataOnly="0" labelOnly="1" outline="0" fieldPosition="0"/>
    </format>
    <format dxfId="64">
      <pivotArea field="18" type="button" dataOnly="0" labelOnly="1" outline="0" axis="axisCol" fieldPosition="0"/>
    </format>
  </formats>
  <pivotTableStyleInfo name="PivotStyleMedium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866AD-7C0F-40FE-9122-E7CBDDC16A2C}"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rowHeaderCaption="Companies">
  <location ref="A3:B32" firstHeaderRow="1" firstDataRow="1" firstDataCol="1"/>
  <pivotFields count="21">
    <pivotField axis="axisRow" showAll="0" sortType="descending">
      <items count="29">
        <item x="23"/>
        <item x="9"/>
        <item x="4"/>
        <item x="3"/>
        <item x="1"/>
        <item x="21"/>
        <item x="16"/>
        <item x="0"/>
        <item x="27"/>
        <item x="18"/>
        <item x="19"/>
        <item x="5"/>
        <item x="20"/>
        <item x="14"/>
        <item x="15"/>
        <item x="11"/>
        <item x="26"/>
        <item x="10"/>
        <item x="2"/>
        <item x="12"/>
        <item x="8"/>
        <item x="24"/>
        <item x="22"/>
        <item x="7"/>
        <item x="13"/>
        <item x="25"/>
        <item x="17"/>
        <item x="6"/>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7" showAll="0">
      <items count="34">
        <item x="31"/>
        <item x="27"/>
        <item x="26"/>
        <item x="23"/>
        <item x="9"/>
        <item x="25"/>
        <item x="28"/>
        <item x="13"/>
        <item x="14"/>
        <item x="10"/>
        <item x="18"/>
        <item x="16"/>
        <item x="21"/>
        <item x="29"/>
        <item x="32"/>
        <item x="19"/>
        <item x="24"/>
        <item x="30"/>
        <item x="7"/>
        <item x="1"/>
        <item x="4"/>
        <item x="20"/>
        <item x="5"/>
        <item x="12"/>
        <item x="22"/>
        <item x="0"/>
        <item x="15"/>
        <item x="2"/>
        <item x="17"/>
        <item x="6"/>
        <item x="3"/>
        <item x="8"/>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3">
        <item x="1"/>
        <item x="0"/>
        <item t="default"/>
      </items>
    </pivotField>
  </pivotFields>
  <rowFields count="1">
    <field x="0"/>
  </rowFields>
  <rowItems count="29">
    <i>
      <x v="15"/>
    </i>
    <i>
      <x v="3"/>
    </i>
    <i>
      <x v="27"/>
    </i>
    <i>
      <x v="7"/>
    </i>
    <i>
      <x v="20"/>
    </i>
    <i>
      <x v="18"/>
    </i>
    <i>
      <x v="11"/>
    </i>
    <i>
      <x v="14"/>
    </i>
    <i>
      <x v="2"/>
    </i>
    <i>
      <x v="4"/>
    </i>
    <i>
      <x v="23"/>
    </i>
    <i>
      <x v="19"/>
    </i>
    <i>
      <x v="25"/>
    </i>
    <i>
      <x v="12"/>
    </i>
    <i>
      <x v="26"/>
    </i>
    <i>
      <x v="21"/>
    </i>
    <i>
      <x v="9"/>
    </i>
    <i>
      <x v="6"/>
    </i>
    <i>
      <x v="8"/>
    </i>
    <i>
      <x v="17"/>
    </i>
    <i>
      <x v="13"/>
    </i>
    <i>
      <x v="24"/>
    </i>
    <i>
      <x v="5"/>
    </i>
    <i>
      <x v="1"/>
    </i>
    <i>
      <x v="10"/>
    </i>
    <i>
      <x v="22"/>
    </i>
    <i>
      <x/>
    </i>
    <i>
      <x v="16"/>
    </i>
    <i t="grand">
      <x/>
    </i>
  </rowItems>
  <colItems count="1">
    <i/>
  </colItems>
  <dataFields count="1">
    <dataField name="Fundings received (millions) " fld="3" baseField="0" baseItem="0" numFmtId="7"/>
  </dataFields>
  <formats count="1">
    <format dxfId="96">
      <pivotArea outline="0" collapsedLevelsAreSubtotals="1" fieldPosition="0"/>
    </format>
  </formats>
  <conditionalFormats count="1">
    <conditionalFormat type="all" priority="1">
      <pivotAreas count="1">
        <pivotArea type="data" collapsedLevelsAreSubtotals="1" fieldPosition="0">
          <references count="2">
            <reference field="4294967294" count="1" selected="0">
              <x v="0"/>
            </reference>
            <reference field="0" count="7">
              <x v="3"/>
              <x v="7"/>
              <x v="11"/>
              <x v="15"/>
              <x v="18"/>
              <x v="20"/>
              <x v="27"/>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E2CB57-6B40-423B-BE48-9DD598C5DEB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eadquarters">
  <location ref="A3:B9" firstHeaderRow="1" firstDataRow="1" firstDataCol="1"/>
  <pivotFields count="21">
    <pivotField showAll="0"/>
    <pivotField numFmtId="14" showAll="0"/>
    <pivotField showAll="0"/>
    <pivotField dataField="1" numFmtId="7" showAll="0"/>
    <pivotField showAll="0"/>
    <pivotField showAll="0"/>
    <pivotField showAll="0"/>
    <pivotField showAll="0"/>
    <pivotField axis="axisRow" showAll="0">
      <items count="6">
        <item x="3"/>
        <item x="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Amount_(millions) " fld="3" baseField="8" baseItem="0" numFmtId="7"/>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1"/>
          </reference>
        </references>
      </pivotArea>
    </chartFormat>
    <chartFormat chart="3" format="15">
      <pivotArea type="data" outline="0" fieldPosition="0">
        <references count="2">
          <reference field="4294967294" count="1" selected="0">
            <x v="0"/>
          </reference>
          <reference field="8" count="1" selected="0">
            <x v="2"/>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4"/>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4" format="1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268C12-8AB3-4CB6-8556-4E4DAE6687C7}" autoFormatId="16" applyNumberFormats="0" applyBorderFormats="0" applyFontFormats="0" applyPatternFormats="0" applyAlignmentFormats="0" applyWidthHeightFormats="0">
  <queryTableRefresh nextId="30">
    <queryTableFields count="21">
      <queryTableField id="1" name="company" tableColumnId="1"/>
      <queryTableField id="2" name="deal_date" tableColumnId="2"/>
      <queryTableField id="3" name="round_type" tableColumnId="3"/>
      <queryTableField id="4" name="amount_usd_millions" tableColumnId="4"/>
      <queryTableField id="7" name="lead_investors" tableColumnId="7"/>
      <queryTableField id="8" name="other_investors" tableColumnId="8"/>
      <queryTableField id="9" name="sector" tableColumnId="9"/>
      <queryTableField id="10" name="subsector" tableColumnId="10"/>
      <queryTableField id="12" name="hq_country" tableColumnId="12"/>
      <queryTableField id="13" name="founded_year" tableColumnId="13"/>
      <queryTableField id="14" name="ceo" tableColumnId="14"/>
      <queryTableField id="15" name="employees_approx" tableColumnId="15"/>
      <queryTableField id="16" name="annual_revenue_millions" tableColumnId="16"/>
      <queryTableField id="18" name="ipo_status" tableColumnId="18"/>
      <queryTableField id="19" name="key_products" tableColumnId="19"/>
      <queryTableField id="20" name="open_source" tableColumnId="20"/>
      <queryTableField id="28" dataBound="0" tableColumnId="5"/>
      <queryTableField id="21" name="source" tableColumnId="21"/>
      <queryTableField id="22" name="year" tableColumnId="22"/>
      <queryTableField id="23" name="deal_size_tier" tableColumnId="23"/>
      <queryTableField id="24" name="is_us_company" tableColumnId="24"/>
    </queryTableFields>
    <queryTableDeletedFields count="4">
      <deletedField name="pre_money_valuation_millions"/>
      <deletedField name="post_money_valuation_millions"/>
      <deletedField name="hq_city"/>
      <deletedField name="profitabl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_company" xr10:uid="{37976CAB-EED6-4C90-8148-95F14CFA99EE}" sourceName="USA company">
  <pivotTables>
    <pivotTable tabId="5" name="PivotTable2"/>
    <pivotTable tabId="3" name="PivotTable1"/>
    <pivotTable tabId="3" name="PivotTable3"/>
  </pivotTables>
  <data>
    <tabular pivotCacheId="141840337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4ABFAFB-0064-466A-96C6-62FFEFEC0EEB}" sourceName="Type">
  <pivotTables>
    <pivotTable tabId="3" name="PivotTable1"/>
    <pivotTable tabId="5" name="PivotTable2"/>
    <pivotTable tabId="3" name="PivotTable3"/>
  </pivotTables>
  <data>
    <tabular pivotCacheId="14184033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dquaters" xr10:uid="{AFE34D76-833A-4054-8AB4-84E4D39B0C1A}" sourceName="Headquaters">
  <pivotTables>
    <pivotTable tabId="7" name="PivotTable5"/>
  </pivotTables>
  <data>
    <tabular pivotCacheId="1194298783">
      <items count="5">
        <i x="3" s="1"/>
        <i x="4"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ize_tier" xr10:uid="{48421EFC-9CF3-47BC-96CB-7C2B14D41F06}" sourceName="Deal_size_tier">
  <data>
    <tabular pivotCacheId="396149366">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A company 1" xr10:uid="{D7013D5D-6538-4C1F-B81E-2366D12F5B1C}" cache="Slicer_USA_company" caption="USA company" rowHeight="274320"/>
  <slicer name="Type 1" xr10:uid="{657CD9D4-1CA3-4867-8774-C421F7DFEACF}" cache="Slicer_Type" caption="Type" rowHeight="274320"/>
  <slicer name="Headquaters 1" xr10:uid="{028DBD3A-8E40-4BE5-8FEC-6F5A841AC6A4}" cache="Slicer_Headquaters" caption="Headquaters" rowHeight="274320"/>
  <slicer name="Deal_size_tier 1" xr10:uid="{44A7339B-7BFF-4932-9D49-835F4ECFB822}" cache="Slicer_Deal_size_tier" caption="Deal_size_ti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27BE41-6F65-47B6-943E-F1E515483F3B}" name="Table1_1" displayName="Table1_1" ref="A1:U40" tableType="queryTable" totalsRowCount="1" headerRowDxfId="95">
  <autoFilter ref="A1:U39" xr:uid="{6327BE41-6F65-47B6-943E-F1E515483F3B}"/>
  <sortState xmlns:xlrd2="http://schemas.microsoft.com/office/spreadsheetml/2017/richdata2" ref="A2:U39">
    <sortCondition descending="1" ref="B1:B39"/>
  </sortState>
  <tableColumns count="21">
    <tableColumn id="1" xr3:uid="{F68EFBD6-73BB-419C-91A3-7C0A33BAD885}" uniqueName="1" name="Company" queryTableFieldId="1" dataDxfId="94"/>
    <tableColumn id="2" xr3:uid="{351A1741-B2F1-4542-9721-060BA83C1836}" uniqueName="2" name="Deal date" queryTableFieldId="2" dataDxfId="93" totalsRowDxfId="75"/>
    <tableColumn id="3" xr3:uid="{60B1C2F5-CD96-438A-9191-F6EF39E79A23}" uniqueName="3" name="Round type" queryTableFieldId="3" dataDxfId="92"/>
    <tableColumn id="4" xr3:uid="{F26B850D-79AF-4323-80A1-129FA43E342A}" uniqueName="4" name="Amount (millions) " totalsRowFunction="sum" queryTableFieldId="4" dataDxfId="91" totalsRowDxfId="74" dataCellStyle="Currency" totalsRowCellStyle="Currency"/>
    <tableColumn id="7" xr3:uid="{AD23C592-13C8-42A4-B700-CCBDD842832C}" uniqueName="7" name="Lead_investors" queryTableFieldId="7" dataDxfId="90"/>
    <tableColumn id="8" xr3:uid="{A9026DB4-1F91-46B2-9F21-72AD5073581A}" uniqueName="8" name="Other_investors" queryTableFieldId="8" dataDxfId="89"/>
    <tableColumn id="9" xr3:uid="{758E35D2-C7AA-4FC6-A142-4580945B7A7D}" uniqueName="9" name="Sector" queryTableFieldId="9" dataDxfId="88"/>
    <tableColumn id="10" xr3:uid="{800EB786-CE88-4943-8356-5C98388306FE}" uniqueName="10" name="subsector" queryTableFieldId="10" dataDxfId="87"/>
    <tableColumn id="12" xr3:uid="{7C4700C8-D1A0-4344-88DE-DB76114C5EE6}" uniqueName="12" name="Headquarters" queryTableFieldId="12" dataDxfId="86"/>
    <tableColumn id="13" xr3:uid="{7B2F3E38-B0FC-4CEE-8992-E05E5FFFB7F4}" uniqueName="13" name="Year_founded" queryTableFieldId="13" dataDxfId="85" totalsRowDxfId="73"/>
    <tableColumn id="14" xr3:uid="{EC3FCE22-6352-4B67-A931-047127877D62}" uniqueName="14" name="Ceo" totalsRowLabel="Sum" queryTableFieldId="14" dataDxfId="84"/>
    <tableColumn id="15" xr3:uid="{6D6832A8-0003-4945-99D8-D9FE133E3D12}" uniqueName="15" name="No. of employees_approx" totalsRowFunction="sum" queryTableFieldId="15" dataDxfId="83" totalsRowDxfId="72"/>
    <tableColumn id="16" xr3:uid="{7F74D3A3-E90F-4ED8-A121-C437CD1A3997}" uniqueName="16" name="Annual_revenue (millions)" totalsRowFunction="sum" queryTableFieldId="16" dataDxfId="82" totalsRowDxfId="71"/>
    <tableColumn id="18" xr3:uid="{54101B96-2ACF-4322-B77A-9672A6125191}" uniqueName="18" name="Ipo_status" queryTableFieldId="18" dataDxfId="81"/>
    <tableColumn id="19" xr3:uid="{FE8808A2-C2E0-434A-9521-D9967C97B74A}" uniqueName="19" name="Key_products" queryTableFieldId="19" dataDxfId="80"/>
    <tableColumn id="20" xr3:uid="{BDAC7F66-8478-4B48-B04D-B28EB776E6B3}" uniqueName="20" name="Open_source" queryTableFieldId="20"/>
    <tableColumn id="5" xr3:uid="{261B34CB-99F8-4E6B-9B02-DC080EACCFC1}" uniqueName="5" name="Type" queryTableFieldId="28" dataDxfId="79"/>
    <tableColumn id="21" xr3:uid="{BF9B7EDA-FF95-4492-AF7C-EF3DB582E782}" uniqueName="21" name="Source" queryTableFieldId="21" dataDxfId="78"/>
    <tableColumn id="22" xr3:uid="{38EFF10B-256F-4274-9BEB-A5FF95765C38}" uniqueName="22" name="Year" queryTableFieldId="22"/>
    <tableColumn id="23" xr3:uid="{9A8EB0BC-FDA8-4CB1-89A5-27CD1B5C0AF1}" uniqueName="23" name="Deal_size_tier" queryTableFieldId="23" dataDxfId="77"/>
    <tableColumn id="24" xr3:uid="{A51AE246-56D0-4C65-8CE4-0A47B9036066}" uniqueName="24" name="USA company"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194DF6-2DFC-47AF-A16A-0B7E0875CEB2}" name="Table1" displayName="Table1" ref="A1:AA39" totalsRowShown="0">
  <autoFilter ref="A1:AA39" xr:uid="{10194DF6-2DFC-47AF-A16A-0B7E0875CEB2}"/>
  <tableColumns count="27">
    <tableColumn id="1" xr3:uid="{F0E5DE73-B436-42A2-93DB-991260866B5F}" name="company"/>
    <tableColumn id="2" xr3:uid="{64876121-1B47-44D2-8ECB-47B9056BBD9A}" name="deal_date" dataDxfId="76"/>
    <tableColumn id="3" xr3:uid="{C083667F-43C3-4ADE-8C3B-AB7E3A547FBF}" name="round_type"/>
    <tableColumn id="4" xr3:uid="{25C07E9A-74F5-4958-ACD9-E9643EBE1AFD}" name="amount_usd_millions"/>
    <tableColumn id="5" xr3:uid="{963CDE0D-F51F-4D70-9A45-6F3956C797CA}" name="pre_money_valuation_millions"/>
    <tableColumn id="6" xr3:uid="{91AD410D-5EA9-47FE-9CB4-D6246F3F1A73}" name="post_money_valuation_millions"/>
    <tableColumn id="7" xr3:uid="{DAB5D545-F5D5-4B1A-9935-F6212DBFDD18}" name="lead_investors"/>
    <tableColumn id="8" xr3:uid="{14A2138E-9286-4025-AD4B-243EC646CEE3}" name="other_investors"/>
    <tableColumn id="9" xr3:uid="{389D91FE-3552-4D05-B2B7-079E5F5BB290}" name="sector"/>
    <tableColumn id="10" xr3:uid="{E69D61A4-A3B9-4165-A572-8C8AF0C9A8F3}" name="subsector"/>
    <tableColumn id="11" xr3:uid="{6542A999-942C-432E-82B2-450E41EADF22}" name="hq_city"/>
    <tableColumn id="12" xr3:uid="{0962A494-0AA3-4A4A-BA62-41327189526D}" name="hq_country"/>
    <tableColumn id="13" xr3:uid="{334FDF6D-B0F9-4F29-A8E4-1CA0A08B1CC3}" name="founded_year"/>
    <tableColumn id="14" xr3:uid="{B98E5DE7-7BD0-40C5-8EE5-BE48674DF3AE}" name="ceo"/>
    <tableColumn id="15" xr3:uid="{571953D7-FEC6-4A58-BEE8-47CE4F65F927}" name="employees_approx"/>
    <tableColumn id="16" xr3:uid="{4AC6CCC3-DDB5-43C4-B563-C169F7947261}" name="annual_revenue_millions"/>
    <tableColumn id="17" xr3:uid="{ED7A2793-5A38-48A8-B270-A1F46680EE87}" name="profitable"/>
    <tableColumn id="18" xr3:uid="{0FC757B4-6785-4AAE-AB61-8D9E2BCF4FF3}" name="ipo_status"/>
    <tableColumn id="19" xr3:uid="{2A150905-9F19-4927-9A18-4A3896B11D68}" name="key_products"/>
    <tableColumn id="20" xr3:uid="{95CB7743-0C5C-439B-BF7B-B123D5ADCDB0}" name="open_source"/>
    <tableColumn id="21" xr3:uid="{CD7A2ABA-197E-4D31-8040-AFB6E325CFB4}" name="source"/>
    <tableColumn id="22" xr3:uid="{AEC18343-EA38-49E9-B349-C7245A131FFC}" name="year"/>
    <tableColumn id="23" xr3:uid="{168AA992-929F-4B52-B847-CDC477368565}" name="quarter"/>
    <tableColumn id="24" xr3:uid="{808A1AEE-8741-4D76-AF7C-21F9998A185A}" name="month"/>
    <tableColumn id="25" xr3:uid="{EC007DAB-76B7-499F-82BC-EEDBB13700FC}" name="deal_size_tier"/>
    <tableColumn id="26" xr3:uid="{5E3D6FFB-5706-485C-907F-7C94760EAE62}" name="is_us_company"/>
    <tableColumn id="27" xr3:uid="{FC9D5045-2835-402E-BDD5-E8EEDEB4A08B}" name="stage_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1DA6-B19C-449E-BAB4-951F2718EA2A}">
  <dimension ref="A1:O34"/>
  <sheetViews>
    <sheetView workbookViewId="0">
      <selection activeCell="L9" sqref="L9"/>
    </sheetView>
  </sheetViews>
  <sheetFormatPr defaultRowHeight="15" x14ac:dyDescent="0.25"/>
  <cols>
    <col min="1" max="1" width="26" bestFit="1" customWidth="1"/>
    <col min="2" max="2" width="18.28515625" bestFit="1" customWidth="1"/>
    <col min="3" max="3" width="9.85546875" bestFit="1" customWidth="1"/>
    <col min="4" max="4" width="6.28515625" bestFit="1" customWidth="1"/>
    <col min="5" max="5" width="9.85546875" bestFit="1" customWidth="1"/>
    <col min="6" max="6" width="8.28515625" bestFit="1" customWidth="1"/>
    <col min="7" max="9" width="10.85546875" bestFit="1" customWidth="1"/>
    <col min="10" max="10" width="11.28515625" bestFit="1" customWidth="1"/>
    <col min="13" max="13" width="3" customWidth="1"/>
    <col min="14" max="14" width="13.42578125" bestFit="1" customWidth="1"/>
    <col min="15" max="15" width="11.85546875" bestFit="1" customWidth="1"/>
  </cols>
  <sheetData>
    <row r="1" spans="1:15" x14ac:dyDescent="0.25">
      <c r="A1" s="17"/>
      <c r="B1" s="17"/>
      <c r="C1" s="17"/>
      <c r="D1" s="17"/>
      <c r="E1" s="17"/>
      <c r="F1" s="17"/>
      <c r="G1" s="17"/>
      <c r="H1" s="17"/>
      <c r="I1" s="17"/>
      <c r="J1" s="17"/>
    </row>
    <row r="2" spans="1:15" ht="23.25" x14ac:dyDescent="0.25">
      <c r="A2" s="18"/>
      <c r="B2" s="19"/>
      <c r="C2" s="18"/>
      <c r="D2" s="18"/>
      <c r="E2" s="18"/>
      <c r="F2" s="18"/>
      <c r="G2" s="18"/>
      <c r="H2" s="18"/>
      <c r="I2" s="18"/>
      <c r="J2" s="18"/>
    </row>
    <row r="3" spans="1:15" x14ac:dyDescent="0.25">
      <c r="A3" s="20" t="s">
        <v>319</v>
      </c>
      <c r="B3" s="20" t="s">
        <v>320</v>
      </c>
    </row>
    <row r="4" spans="1:15" x14ac:dyDescent="0.25">
      <c r="A4" s="20" t="s">
        <v>0</v>
      </c>
      <c r="B4" s="21">
        <v>2014</v>
      </c>
      <c r="C4" s="21">
        <v>2019</v>
      </c>
      <c r="D4" s="21">
        <v>2020</v>
      </c>
      <c r="E4" s="21">
        <v>2021</v>
      </c>
      <c r="F4" s="21">
        <v>2022</v>
      </c>
      <c r="G4" s="21">
        <v>2023</v>
      </c>
      <c r="H4" s="21">
        <v>2024</v>
      </c>
      <c r="I4" s="21">
        <v>2025</v>
      </c>
      <c r="J4" s="21" t="s">
        <v>318</v>
      </c>
      <c r="N4" s="10" t="s">
        <v>19</v>
      </c>
      <c r="O4" s="3" t="s">
        <v>323</v>
      </c>
    </row>
    <row r="5" spans="1:15" x14ac:dyDescent="0.25">
      <c r="A5" s="8" t="s">
        <v>77</v>
      </c>
      <c r="B5" s="5"/>
      <c r="C5" s="5"/>
      <c r="D5" s="5"/>
      <c r="E5" s="5"/>
      <c r="F5" s="5">
        <v>65</v>
      </c>
      <c r="G5" s="5"/>
      <c r="H5" s="5"/>
      <c r="I5" s="5"/>
      <c r="J5" s="5">
        <v>65</v>
      </c>
      <c r="N5" s="8" t="s">
        <v>315</v>
      </c>
      <c r="O5" s="5">
        <v>119493</v>
      </c>
    </row>
    <row r="6" spans="1:15" x14ac:dyDescent="0.25">
      <c r="A6" s="8" t="s">
        <v>217</v>
      </c>
      <c r="B6" s="5"/>
      <c r="C6" s="5"/>
      <c r="D6" s="5"/>
      <c r="E6" s="5"/>
      <c r="F6" s="5"/>
      <c r="G6" s="5"/>
      <c r="H6" s="5"/>
      <c r="I6" s="5">
        <v>243</v>
      </c>
      <c r="J6" s="5">
        <v>243</v>
      </c>
      <c r="N6" s="8" t="s">
        <v>314</v>
      </c>
      <c r="O6" s="5">
        <v>36051</v>
      </c>
    </row>
    <row r="7" spans="1:15" x14ac:dyDescent="0.25">
      <c r="A7" s="8" t="s">
        <v>246</v>
      </c>
      <c r="B7" s="5"/>
      <c r="C7" s="5"/>
      <c r="D7" s="5"/>
      <c r="E7" s="5"/>
      <c r="F7" s="5"/>
      <c r="G7" s="5"/>
      <c r="H7" s="5"/>
      <c r="I7" s="5">
        <v>2500</v>
      </c>
      <c r="J7" s="5">
        <v>2500</v>
      </c>
      <c r="N7" s="8" t="s">
        <v>318</v>
      </c>
      <c r="O7" s="5">
        <v>155544</v>
      </c>
    </row>
    <row r="8" spans="1:15" x14ac:dyDescent="0.25">
      <c r="A8" s="8" t="s">
        <v>125</v>
      </c>
      <c r="B8" s="5"/>
      <c r="C8" s="5"/>
      <c r="D8" s="5"/>
      <c r="E8" s="5"/>
      <c r="F8" s="5"/>
      <c r="G8" s="5">
        <v>4000</v>
      </c>
      <c r="H8" s="5">
        <v>2750</v>
      </c>
      <c r="I8" s="5">
        <v>16500</v>
      </c>
      <c r="J8" s="5">
        <v>23250</v>
      </c>
    </row>
    <row r="9" spans="1:15" x14ac:dyDescent="0.25">
      <c r="A9" s="8" t="s">
        <v>265</v>
      </c>
      <c r="B9" s="5"/>
      <c r="C9" s="5"/>
      <c r="D9" s="5"/>
      <c r="E9" s="5"/>
      <c r="F9" s="5"/>
      <c r="G9" s="5"/>
      <c r="H9" s="5"/>
      <c r="I9" s="5">
        <v>2300</v>
      </c>
      <c r="J9" s="5">
        <v>2300</v>
      </c>
    </row>
    <row r="10" spans="1:15" x14ac:dyDescent="0.25">
      <c r="A10" s="8" t="s">
        <v>99</v>
      </c>
      <c r="B10" s="5"/>
      <c r="C10" s="5"/>
      <c r="D10" s="5"/>
      <c r="E10" s="5"/>
      <c r="F10" s="5"/>
      <c r="G10" s="5">
        <v>270</v>
      </c>
      <c r="H10" s="5"/>
      <c r="I10" s="5"/>
      <c r="J10" s="5">
        <v>270</v>
      </c>
    </row>
    <row r="11" spans="1:15" x14ac:dyDescent="0.25">
      <c r="A11" s="8" t="s">
        <v>168</v>
      </c>
      <c r="B11" s="5"/>
      <c r="C11" s="5"/>
      <c r="D11" s="5"/>
      <c r="E11" s="5"/>
      <c r="F11" s="5"/>
      <c r="G11" s="5"/>
      <c r="H11" s="5">
        <v>650</v>
      </c>
      <c r="I11" s="5"/>
      <c r="J11" s="5">
        <v>650</v>
      </c>
    </row>
    <row r="12" spans="1:15" x14ac:dyDescent="0.25">
      <c r="A12" s="8" t="s">
        <v>156</v>
      </c>
      <c r="B12" s="5"/>
      <c r="C12" s="5"/>
      <c r="D12" s="5"/>
      <c r="E12" s="5"/>
      <c r="F12" s="5"/>
      <c r="G12" s="5"/>
      <c r="H12" s="5">
        <v>10000</v>
      </c>
      <c r="I12" s="5">
        <v>5000</v>
      </c>
      <c r="J12" s="5">
        <v>15000</v>
      </c>
    </row>
    <row r="13" spans="1:15" x14ac:dyDescent="0.25">
      <c r="A13" s="8" t="s">
        <v>316</v>
      </c>
      <c r="B13" s="5">
        <v>500</v>
      </c>
      <c r="C13" s="5"/>
      <c r="D13" s="5"/>
      <c r="E13" s="5"/>
      <c r="F13" s="5"/>
      <c r="G13" s="5"/>
      <c r="H13" s="5"/>
      <c r="I13" s="5"/>
      <c r="J13" s="5">
        <v>500</v>
      </c>
    </row>
    <row r="14" spans="1:15" x14ac:dyDescent="0.25">
      <c r="A14" s="8" t="s">
        <v>131</v>
      </c>
      <c r="B14" s="5"/>
      <c r="C14" s="5"/>
      <c r="D14" s="5"/>
      <c r="E14" s="5"/>
      <c r="F14" s="5"/>
      <c r="G14" s="5"/>
      <c r="H14" s="5">
        <v>675</v>
      </c>
      <c r="I14" s="5"/>
      <c r="J14" s="5">
        <v>675</v>
      </c>
    </row>
    <row r="15" spans="1:15" x14ac:dyDescent="0.25">
      <c r="A15" s="8" t="s">
        <v>117</v>
      </c>
      <c r="B15" s="5"/>
      <c r="C15" s="5"/>
      <c r="D15" s="5"/>
      <c r="E15" s="5"/>
      <c r="F15" s="5"/>
      <c r="G15" s="5">
        <v>235</v>
      </c>
      <c r="H15" s="5"/>
      <c r="I15" s="5"/>
      <c r="J15" s="5">
        <v>235</v>
      </c>
    </row>
    <row r="16" spans="1:15" x14ac:dyDescent="0.25">
      <c r="A16" s="8" t="s">
        <v>239</v>
      </c>
      <c r="B16" s="5"/>
      <c r="C16" s="5"/>
      <c r="D16" s="5"/>
      <c r="E16" s="5"/>
      <c r="F16" s="5"/>
      <c r="G16" s="5"/>
      <c r="H16" s="5"/>
      <c r="I16" s="5">
        <v>3000</v>
      </c>
      <c r="J16" s="5">
        <v>3000</v>
      </c>
    </row>
    <row r="17" spans="1:10" x14ac:dyDescent="0.25">
      <c r="A17" s="8" t="s">
        <v>108</v>
      </c>
      <c r="B17" s="5"/>
      <c r="C17" s="5"/>
      <c r="D17" s="5"/>
      <c r="E17" s="5"/>
      <c r="F17" s="5"/>
      <c r="G17" s="5">
        <v>1300</v>
      </c>
      <c r="H17" s="5"/>
      <c r="I17" s="5"/>
      <c r="J17" s="5">
        <v>1300</v>
      </c>
    </row>
    <row r="18" spans="1:10" x14ac:dyDescent="0.25">
      <c r="A18" s="8" t="s">
        <v>185</v>
      </c>
      <c r="B18" s="5"/>
      <c r="C18" s="5"/>
      <c r="D18" s="5"/>
      <c r="E18" s="5"/>
      <c r="F18" s="5"/>
      <c r="G18" s="5"/>
      <c r="H18" s="5"/>
      <c r="I18" s="5">
        <v>480</v>
      </c>
      <c r="J18" s="5">
        <v>480</v>
      </c>
    </row>
    <row r="19" spans="1:10" x14ac:dyDescent="0.25">
      <c r="A19" s="8" t="s">
        <v>148</v>
      </c>
      <c r="B19" s="5"/>
      <c r="C19" s="5"/>
      <c r="D19" s="5"/>
      <c r="E19" s="5"/>
      <c r="F19" s="5"/>
      <c r="G19" s="5"/>
      <c r="H19" s="5">
        <v>640</v>
      </c>
      <c r="I19" s="5">
        <v>2000</v>
      </c>
      <c r="J19" s="5">
        <v>2640</v>
      </c>
    </row>
    <row r="20" spans="1:10" x14ac:dyDescent="0.25">
      <c r="A20" s="8" t="s">
        <v>32</v>
      </c>
      <c r="B20" s="5"/>
      <c r="C20" s="5">
        <v>1000</v>
      </c>
      <c r="D20" s="5"/>
      <c r="E20" s="5"/>
      <c r="F20" s="5">
        <v>300</v>
      </c>
      <c r="G20" s="5">
        <v>10000</v>
      </c>
      <c r="H20" s="5">
        <v>6600</v>
      </c>
      <c r="I20" s="5">
        <v>40000</v>
      </c>
      <c r="J20" s="5">
        <v>57900</v>
      </c>
    </row>
    <row r="21" spans="1:10" x14ac:dyDescent="0.25">
      <c r="A21" s="8" t="s">
        <v>44</v>
      </c>
      <c r="B21" s="5"/>
      <c r="C21" s="5"/>
      <c r="D21" s="5">
        <v>0</v>
      </c>
      <c r="E21" s="5"/>
      <c r="F21" s="5"/>
      <c r="G21" s="5"/>
      <c r="H21" s="5"/>
      <c r="I21" s="5"/>
      <c r="J21" s="5">
        <v>0</v>
      </c>
    </row>
    <row r="22" spans="1:10" x14ac:dyDescent="0.25">
      <c r="A22" s="8" t="s">
        <v>210</v>
      </c>
      <c r="B22" s="5"/>
      <c r="C22" s="5"/>
      <c r="D22" s="5"/>
      <c r="E22" s="5"/>
      <c r="F22" s="5"/>
      <c r="G22" s="5"/>
      <c r="H22" s="5"/>
      <c r="I22" s="5">
        <v>500</v>
      </c>
      <c r="J22" s="5">
        <v>500</v>
      </c>
    </row>
    <row r="23" spans="1:10" x14ac:dyDescent="0.25">
      <c r="A23" s="8" t="s">
        <v>257</v>
      </c>
      <c r="B23" s="5"/>
      <c r="C23" s="5"/>
      <c r="D23" s="5"/>
      <c r="E23" s="5"/>
      <c r="F23" s="5"/>
      <c r="G23" s="5"/>
      <c r="H23" s="5"/>
      <c r="I23" s="5">
        <v>6200</v>
      </c>
      <c r="J23" s="5">
        <v>6200</v>
      </c>
    </row>
    <row r="24" spans="1:10" x14ac:dyDescent="0.25">
      <c r="A24" s="8" t="s">
        <v>199</v>
      </c>
      <c r="B24" s="5"/>
      <c r="C24" s="5"/>
      <c r="D24" s="5"/>
      <c r="E24" s="5"/>
      <c r="F24" s="5"/>
      <c r="G24" s="5"/>
      <c r="H24" s="5"/>
      <c r="I24" s="5">
        <v>2000</v>
      </c>
      <c r="J24" s="5">
        <v>2000</v>
      </c>
    </row>
    <row r="25" spans="1:10" x14ac:dyDescent="0.25">
      <c r="A25" s="8" t="s">
        <v>223</v>
      </c>
      <c r="B25" s="5"/>
      <c r="C25" s="5"/>
      <c r="D25" s="5"/>
      <c r="E25" s="5"/>
      <c r="F25" s="5"/>
      <c r="G25" s="5"/>
      <c r="H25" s="5"/>
      <c r="I25" s="5">
        <v>14300</v>
      </c>
      <c r="J25" s="5">
        <v>14300</v>
      </c>
    </row>
    <row r="26" spans="1:10" x14ac:dyDescent="0.25">
      <c r="A26" s="8" t="s">
        <v>62</v>
      </c>
      <c r="B26" s="5"/>
      <c r="C26" s="5"/>
      <c r="D26" s="5"/>
      <c r="E26" s="5">
        <v>740</v>
      </c>
      <c r="F26" s="5"/>
      <c r="G26" s="5"/>
      <c r="H26" s="5"/>
      <c r="I26" s="5"/>
      <c r="J26" s="5">
        <v>740</v>
      </c>
    </row>
    <row r="27" spans="1:10" x14ac:dyDescent="0.25">
      <c r="A27" s="8" t="s">
        <v>86</v>
      </c>
      <c r="B27" s="5"/>
      <c r="C27" s="5"/>
      <c r="D27" s="5"/>
      <c r="E27" s="5"/>
      <c r="F27" s="5">
        <v>101</v>
      </c>
      <c r="G27" s="5"/>
      <c r="H27" s="5"/>
      <c r="I27" s="5"/>
      <c r="J27" s="5">
        <v>101</v>
      </c>
    </row>
    <row r="28" spans="1:10" x14ac:dyDescent="0.25">
      <c r="A28" s="8" t="s">
        <v>232</v>
      </c>
      <c r="B28" s="5"/>
      <c r="C28" s="5"/>
      <c r="D28" s="5"/>
      <c r="E28" s="5"/>
      <c r="F28" s="5"/>
      <c r="G28" s="5"/>
      <c r="H28" s="5"/>
      <c r="I28" s="5">
        <v>2000</v>
      </c>
      <c r="J28" s="5">
        <v>2000</v>
      </c>
    </row>
    <row r="29" spans="1:10" x14ac:dyDescent="0.25">
      <c r="A29" s="8" t="s">
        <v>190</v>
      </c>
      <c r="B29" s="5"/>
      <c r="C29" s="5"/>
      <c r="D29" s="5"/>
      <c r="E29" s="5"/>
      <c r="F29" s="5"/>
      <c r="G29" s="5"/>
      <c r="H29" s="5"/>
      <c r="I29" s="5">
        <v>305</v>
      </c>
      <c r="J29" s="5">
        <v>305</v>
      </c>
    </row>
    <row r="30" spans="1:10" x14ac:dyDescent="0.25">
      <c r="A30" s="8" t="s">
        <v>54</v>
      </c>
      <c r="B30" s="5"/>
      <c r="C30" s="5"/>
      <c r="D30" s="5"/>
      <c r="E30" s="5">
        <v>1340</v>
      </c>
      <c r="F30" s="5"/>
      <c r="G30" s="5"/>
      <c r="H30" s="5"/>
      <c r="I30" s="5"/>
      <c r="J30" s="5">
        <v>1340</v>
      </c>
    </row>
    <row r="31" spans="1:10" x14ac:dyDescent="0.25">
      <c r="A31" s="8" t="s">
        <v>141</v>
      </c>
      <c r="B31" s="5"/>
      <c r="C31" s="5"/>
      <c r="D31" s="5"/>
      <c r="E31" s="5"/>
      <c r="F31" s="5"/>
      <c r="G31" s="5"/>
      <c r="H31" s="5">
        <v>1050</v>
      </c>
      <c r="I31" s="5"/>
      <c r="J31" s="5">
        <v>1050</v>
      </c>
    </row>
    <row r="32" spans="1:10" x14ac:dyDescent="0.25">
      <c r="A32" s="8" t="s">
        <v>176</v>
      </c>
      <c r="B32" s="5"/>
      <c r="C32" s="5"/>
      <c r="D32" s="5"/>
      <c r="E32" s="5"/>
      <c r="F32" s="5"/>
      <c r="G32" s="5"/>
      <c r="H32" s="5">
        <v>6000</v>
      </c>
      <c r="I32" s="5">
        <v>10000</v>
      </c>
      <c r="J32" s="5">
        <v>16000</v>
      </c>
    </row>
    <row r="33" spans="1:10" x14ac:dyDescent="0.25">
      <c r="A33" s="15" t="s">
        <v>327</v>
      </c>
      <c r="B33" s="16">
        <f>SUM(B5:B13)</f>
        <v>500</v>
      </c>
      <c r="C33" s="16">
        <f t="shared" ref="C33:I33" si="0">SUM(C5:C32)</f>
        <v>1000</v>
      </c>
      <c r="D33" s="16">
        <f t="shared" si="0"/>
        <v>0</v>
      </c>
      <c r="E33" s="16">
        <f t="shared" si="0"/>
        <v>2080</v>
      </c>
      <c r="F33" s="16">
        <f t="shared" si="0"/>
        <v>466</v>
      </c>
      <c r="G33" s="16">
        <f t="shared" si="0"/>
        <v>15805</v>
      </c>
      <c r="H33" s="16">
        <f t="shared" si="0"/>
        <v>28365</v>
      </c>
      <c r="I33" s="16">
        <f t="shared" si="0"/>
        <v>107328</v>
      </c>
      <c r="J33" s="16">
        <f>SUM(J5:J32)</f>
        <v>155544</v>
      </c>
    </row>
    <row r="34" spans="1:10" x14ac:dyDescent="0.25">
      <c r="A34" s="22"/>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CBB0-5169-42A9-8501-DA00F4ED0D08}">
  <dimension ref="A3:B32"/>
  <sheetViews>
    <sheetView workbookViewId="0">
      <selection activeCell="D4" sqref="D4"/>
    </sheetView>
  </sheetViews>
  <sheetFormatPr defaultRowHeight="15" x14ac:dyDescent="0.25"/>
  <cols>
    <col min="1" max="1" width="26" bestFit="1" customWidth="1"/>
    <col min="2" max="2" width="27.140625" bestFit="1" customWidth="1"/>
    <col min="3" max="4" width="11.85546875" bestFit="1" customWidth="1"/>
  </cols>
  <sheetData>
    <row r="3" spans="1:2" x14ac:dyDescent="0.25">
      <c r="A3" s="7" t="s">
        <v>321</v>
      </c>
      <c r="B3" t="s">
        <v>322</v>
      </c>
    </row>
    <row r="4" spans="1:2" x14ac:dyDescent="0.25">
      <c r="A4" s="8" t="s">
        <v>32</v>
      </c>
      <c r="B4" s="9">
        <v>57900</v>
      </c>
    </row>
    <row r="5" spans="1:2" x14ac:dyDescent="0.25">
      <c r="A5" s="8" t="s">
        <v>125</v>
      </c>
      <c r="B5" s="9">
        <v>23250</v>
      </c>
    </row>
    <row r="6" spans="1:2" x14ac:dyDescent="0.25">
      <c r="A6" s="8" t="s">
        <v>176</v>
      </c>
      <c r="B6" s="9">
        <v>16000</v>
      </c>
    </row>
    <row r="7" spans="1:2" x14ac:dyDescent="0.25">
      <c r="A7" s="8" t="s">
        <v>156</v>
      </c>
      <c r="B7" s="9">
        <v>15000</v>
      </c>
    </row>
    <row r="8" spans="1:2" x14ac:dyDescent="0.25">
      <c r="A8" s="8" t="s">
        <v>223</v>
      </c>
      <c r="B8" s="9">
        <v>14300</v>
      </c>
    </row>
    <row r="9" spans="1:2" x14ac:dyDescent="0.25">
      <c r="A9" s="8" t="s">
        <v>257</v>
      </c>
      <c r="B9" s="9">
        <v>6200</v>
      </c>
    </row>
    <row r="10" spans="1:2" x14ac:dyDescent="0.25">
      <c r="A10" s="8" t="s">
        <v>239</v>
      </c>
      <c r="B10" s="9">
        <v>3000</v>
      </c>
    </row>
    <row r="11" spans="1:2" x14ac:dyDescent="0.25">
      <c r="A11" s="8" t="s">
        <v>148</v>
      </c>
      <c r="B11" s="9">
        <v>2640</v>
      </c>
    </row>
    <row r="12" spans="1:2" x14ac:dyDescent="0.25">
      <c r="A12" s="8" t="s">
        <v>246</v>
      </c>
      <c r="B12" s="9">
        <v>2500</v>
      </c>
    </row>
    <row r="13" spans="1:2" x14ac:dyDescent="0.25">
      <c r="A13" s="8" t="s">
        <v>265</v>
      </c>
      <c r="B13" s="9">
        <v>2300</v>
      </c>
    </row>
    <row r="14" spans="1:2" x14ac:dyDescent="0.25">
      <c r="A14" s="8" t="s">
        <v>232</v>
      </c>
      <c r="B14" s="9">
        <v>2000</v>
      </c>
    </row>
    <row r="15" spans="1:2" x14ac:dyDescent="0.25">
      <c r="A15" s="8" t="s">
        <v>199</v>
      </c>
      <c r="B15" s="9">
        <v>2000</v>
      </c>
    </row>
    <row r="16" spans="1:2" x14ac:dyDescent="0.25">
      <c r="A16" s="8" t="s">
        <v>54</v>
      </c>
      <c r="B16" s="9">
        <v>1340</v>
      </c>
    </row>
    <row r="17" spans="1:2" x14ac:dyDescent="0.25">
      <c r="A17" s="8" t="s">
        <v>108</v>
      </c>
      <c r="B17" s="9">
        <v>1300</v>
      </c>
    </row>
    <row r="18" spans="1:2" x14ac:dyDescent="0.25">
      <c r="A18" s="8" t="s">
        <v>141</v>
      </c>
      <c r="B18" s="9">
        <v>1050</v>
      </c>
    </row>
    <row r="19" spans="1:2" x14ac:dyDescent="0.25">
      <c r="A19" s="8" t="s">
        <v>62</v>
      </c>
      <c r="B19" s="9">
        <v>740</v>
      </c>
    </row>
    <row r="20" spans="1:2" x14ac:dyDescent="0.25">
      <c r="A20" s="8" t="s">
        <v>131</v>
      </c>
      <c r="B20" s="9">
        <v>675</v>
      </c>
    </row>
    <row r="21" spans="1:2" x14ac:dyDescent="0.25">
      <c r="A21" s="8" t="s">
        <v>168</v>
      </c>
      <c r="B21" s="9">
        <v>650</v>
      </c>
    </row>
    <row r="22" spans="1:2" x14ac:dyDescent="0.25">
      <c r="A22" s="8" t="s">
        <v>316</v>
      </c>
      <c r="B22" s="9">
        <v>500</v>
      </c>
    </row>
    <row r="23" spans="1:2" x14ac:dyDescent="0.25">
      <c r="A23" s="8" t="s">
        <v>210</v>
      </c>
      <c r="B23" s="9">
        <v>500</v>
      </c>
    </row>
    <row r="24" spans="1:2" x14ac:dyDescent="0.25">
      <c r="A24" s="8" t="s">
        <v>185</v>
      </c>
      <c r="B24" s="9">
        <v>480</v>
      </c>
    </row>
    <row r="25" spans="1:2" x14ac:dyDescent="0.25">
      <c r="A25" s="8" t="s">
        <v>190</v>
      </c>
      <c r="B25" s="9">
        <v>305</v>
      </c>
    </row>
    <row r="26" spans="1:2" x14ac:dyDescent="0.25">
      <c r="A26" s="8" t="s">
        <v>99</v>
      </c>
      <c r="B26" s="9">
        <v>270</v>
      </c>
    </row>
    <row r="27" spans="1:2" x14ac:dyDescent="0.25">
      <c r="A27" s="8" t="s">
        <v>217</v>
      </c>
      <c r="B27" s="9">
        <v>243</v>
      </c>
    </row>
    <row r="28" spans="1:2" x14ac:dyDescent="0.25">
      <c r="A28" s="8" t="s">
        <v>117</v>
      </c>
      <c r="B28" s="9">
        <v>235</v>
      </c>
    </row>
    <row r="29" spans="1:2" x14ac:dyDescent="0.25">
      <c r="A29" s="8" t="s">
        <v>86</v>
      </c>
      <c r="B29" s="9">
        <v>101</v>
      </c>
    </row>
    <row r="30" spans="1:2" x14ac:dyDescent="0.25">
      <c r="A30" s="8" t="s">
        <v>77</v>
      </c>
      <c r="B30" s="9">
        <v>65</v>
      </c>
    </row>
    <row r="31" spans="1:2" x14ac:dyDescent="0.25">
      <c r="A31" s="8" t="s">
        <v>44</v>
      </c>
      <c r="B31" s="9">
        <v>0</v>
      </c>
    </row>
    <row r="32" spans="1:2" x14ac:dyDescent="0.25">
      <c r="A32" s="8" t="s">
        <v>318</v>
      </c>
      <c r="B32" s="9">
        <v>155544</v>
      </c>
    </row>
  </sheetData>
  <conditionalFormatting pivot="1" sqref="B4:B10">
    <cfRule type="top10" dxfId="0" priority="1" rank="10"/>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6D411-3210-471A-A6AA-AC66E875B500}">
  <dimension ref="A3:B9"/>
  <sheetViews>
    <sheetView workbookViewId="0">
      <selection activeCell="B14" sqref="B14"/>
    </sheetView>
  </sheetViews>
  <sheetFormatPr defaultRowHeight="15" x14ac:dyDescent="0.25"/>
  <cols>
    <col min="1" max="1" width="15.42578125" bestFit="1" customWidth="1"/>
    <col min="2" max="2" width="18.42578125" bestFit="1" customWidth="1"/>
  </cols>
  <sheetData>
    <row r="3" spans="1:2" x14ac:dyDescent="0.25">
      <c r="A3" s="7" t="s">
        <v>324</v>
      </c>
      <c r="B3" t="s">
        <v>325</v>
      </c>
    </row>
    <row r="4" spans="1:2" x14ac:dyDescent="0.25">
      <c r="A4" s="8" t="s">
        <v>104</v>
      </c>
      <c r="B4" s="5">
        <v>270</v>
      </c>
    </row>
    <row r="5" spans="1:2" x14ac:dyDescent="0.25">
      <c r="A5" s="8" t="s">
        <v>66</v>
      </c>
      <c r="B5" s="5">
        <v>740</v>
      </c>
    </row>
    <row r="6" spans="1:2" x14ac:dyDescent="0.25">
      <c r="A6" s="8" t="s">
        <v>152</v>
      </c>
      <c r="B6" s="5">
        <v>2640</v>
      </c>
    </row>
    <row r="7" spans="1:2" x14ac:dyDescent="0.25">
      <c r="A7" s="8" t="s">
        <v>26</v>
      </c>
      <c r="B7" s="5">
        <v>1651</v>
      </c>
    </row>
    <row r="8" spans="1:2" x14ac:dyDescent="0.25">
      <c r="A8" s="8" t="s">
        <v>38</v>
      </c>
      <c r="B8" s="5">
        <v>150243</v>
      </c>
    </row>
    <row r="9" spans="1:2" x14ac:dyDescent="0.25">
      <c r="A9" s="8" t="s">
        <v>318</v>
      </c>
      <c r="B9" s="5">
        <v>155544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53D7-3A70-4F59-A83D-1B2FA7168D3A}">
  <dimension ref="A1:U40"/>
  <sheetViews>
    <sheetView topLeftCell="A5" workbookViewId="0">
      <selection activeCell="D40" sqref="D40"/>
    </sheetView>
  </sheetViews>
  <sheetFormatPr defaultRowHeight="15" x14ac:dyDescent="0.25"/>
  <cols>
    <col min="1" max="1" width="26" bestFit="1" customWidth="1"/>
    <col min="2" max="2" width="14.85546875" style="1" bestFit="1" customWidth="1"/>
    <col min="3" max="3" width="19.5703125" bestFit="1" customWidth="1"/>
    <col min="4" max="4" width="18.5703125" bestFit="1" customWidth="1"/>
    <col min="5" max="5" width="38.5703125" bestFit="1" customWidth="1"/>
    <col min="6" max="6" width="54.28515625" bestFit="1" customWidth="1"/>
    <col min="7" max="7" width="29" bestFit="1" customWidth="1"/>
    <col min="8" max="8" width="30.7109375" bestFit="1" customWidth="1"/>
    <col min="9" max="9" width="15.42578125" bestFit="1" customWidth="1"/>
    <col min="10" max="10" width="18.28515625" bestFit="1" customWidth="1"/>
    <col min="11" max="11" width="35" bestFit="1" customWidth="1"/>
    <col min="12" max="12" width="26.5703125" bestFit="1" customWidth="1"/>
    <col min="13" max="13" width="26.28515625" bestFit="1" customWidth="1"/>
    <col min="14" max="14" width="31" bestFit="1" customWidth="1"/>
    <col min="15" max="15" width="46.7109375" bestFit="1" customWidth="1"/>
    <col min="16" max="16" width="15" bestFit="1" customWidth="1"/>
    <col min="17" max="17" width="15" customWidth="1"/>
    <col min="18" max="18" width="32.5703125" bestFit="1" customWidth="1"/>
    <col min="19" max="19" width="9.5703125" bestFit="1" customWidth="1"/>
    <col min="20" max="20" width="16.28515625" bestFit="1" customWidth="1"/>
    <col min="21" max="21" width="16.85546875" bestFit="1" customWidth="1"/>
  </cols>
  <sheetData>
    <row r="1" spans="1:21" x14ac:dyDescent="0.25">
      <c r="A1" s="3" t="s">
        <v>0</v>
      </c>
      <c r="B1" s="2" t="s">
        <v>1</v>
      </c>
      <c r="C1" s="3" t="s">
        <v>2</v>
      </c>
      <c r="D1" s="3" t="s">
        <v>3</v>
      </c>
      <c r="E1" s="3" t="s">
        <v>4</v>
      </c>
      <c r="F1" s="3" t="s">
        <v>5</v>
      </c>
      <c r="G1" s="3" t="s">
        <v>6</v>
      </c>
      <c r="H1" s="3" t="s">
        <v>7</v>
      </c>
      <c r="I1" s="3" t="s">
        <v>324</v>
      </c>
      <c r="J1" s="3" t="s">
        <v>8</v>
      </c>
      <c r="K1" s="3" t="s">
        <v>9</v>
      </c>
      <c r="L1" s="3" t="s">
        <v>10</v>
      </c>
      <c r="M1" s="3" t="s">
        <v>11</v>
      </c>
      <c r="N1" s="3" t="s">
        <v>12</v>
      </c>
      <c r="O1" s="3" t="s">
        <v>13</v>
      </c>
      <c r="P1" s="3" t="s">
        <v>14</v>
      </c>
      <c r="Q1" s="3" t="s">
        <v>19</v>
      </c>
      <c r="R1" s="3" t="s">
        <v>15</v>
      </c>
      <c r="S1" s="3" t="s">
        <v>16</v>
      </c>
      <c r="T1" s="3" t="s">
        <v>17</v>
      </c>
      <c r="U1" s="3" t="s">
        <v>18</v>
      </c>
    </row>
    <row r="2" spans="1:21" x14ac:dyDescent="0.25">
      <c r="A2" t="s">
        <v>156</v>
      </c>
      <c r="B2" s="2">
        <v>45992</v>
      </c>
      <c r="C2" t="s">
        <v>272</v>
      </c>
      <c r="D2" s="4">
        <v>5000</v>
      </c>
      <c r="E2" t="s">
        <v>158</v>
      </c>
      <c r="F2" t="s">
        <v>273</v>
      </c>
      <c r="G2" t="s">
        <v>120</v>
      </c>
      <c r="H2" t="s">
        <v>160</v>
      </c>
      <c r="I2" t="s">
        <v>38</v>
      </c>
      <c r="J2" s="3">
        <v>2013</v>
      </c>
      <c r="K2" t="s">
        <v>161</v>
      </c>
      <c r="L2" s="3">
        <v>7000</v>
      </c>
      <c r="M2" s="3">
        <v>3500</v>
      </c>
      <c r="N2" t="s">
        <v>274</v>
      </c>
      <c r="O2" t="s">
        <v>275</v>
      </c>
      <c r="P2" t="b">
        <v>1</v>
      </c>
      <c r="Q2" t="s">
        <v>314</v>
      </c>
      <c r="R2" t="s">
        <v>95</v>
      </c>
      <c r="S2">
        <v>2025</v>
      </c>
      <c r="T2" t="s">
        <v>43</v>
      </c>
      <c r="U2" t="b">
        <v>1</v>
      </c>
    </row>
    <row r="3" spans="1:21" x14ac:dyDescent="0.25">
      <c r="A3" t="s">
        <v>265</v>
      </c>
      <c r="B3" s="2">
        <v>45974</v>
      </c>
      <c r="C3" t="s">
        <v>100</v>
      </c>
      <c r="D3" s="4">
        <v>2300</v>
      </c>
      <c r="E3" t="s">
        <v>266</v>
      </c>
      <c r="F3" t="s">
        <v>267</v>
      </c>
      <c r="G3" t="s">
        <v>47</v>
      </c>
      <c r="H3" t="s">
        <v>268</v>
      </c>
      <c r="I3" t="s">
        <v>38</v>
      </c>
      <c r="J3" s="3">
        <v>2022</v>
      </c>
      <c r="K3" t="s">
        <v>269</v>
      </c>
      <c r="L3" s="3">
        <v>100</v>
      </c>
      <c r="M3" s="3">
        <v>500</v>
      </c>
      <c r="N3" t="s">
        <v>40</v>
      </c>
      <c r="O3" t="s">
        <v>270</v>
      </c>
      <c r="P3" t="b">
        <v>0</v>
      </c>
      <c r="Q3" t="s">
        <v>315</v>
      </c>
      <c r="R3" t="s">
        <v>271</v>
      </c>
      <c r="S3">
        <v>2025</v>
      </c>
      <c r="T3" t="s">
        <v>43</v>
      </c>
      <c r="U3" t="b">
        <v>1</v>
      </c>
    </row>
    <row r="4" spans="1:21" x14ac:dyDescent="0.25">
      <c r="A4" t="s">
        <v>257</v>
      </c>
      <c r="B4" s="2">
        <v>45962</v>
      </c>
      <c r="C4" t="s">
        <v>258</v>
      </c>
      <c r="D4" s="4">
        <v>6200</v>
      </c>
      <c r="E4" t="s">
        <v>259</v>
      </c>
      <c r="F4" t="s">
        <v>260</v>
      </c>
      <c r="G4" t="s">
        <v>261</v>
      </c>
      <c r="H4" t="s">
        <v>262</v>
      </c>
      <c r="I4" t="s">
        <v>38</v>
      </c>
      <c r="J4" s="3">
        <v>2025</v>
      </c>
      <c r="K4" t="s">
        <v>263</v>
      </c>
      <c r="L4" s="3">
        <v>50</v>
      </c>
      <c r="M4" s="3" t="s">
        <v>317</v>
      </c>
      <c r="N4" t="s">
        <v>40</v>
      </c>
      <c r="O4" t="s">
        <v>264</v>
      </c>
      <c r="P4" t="b">
        <v>0</v>
      </c>
      <c r="Q4" t="s">
        <v>315</v>
      </c>
      <c r="R4" t="s">
        <v>245</v>
      </c>
      <c r="S4">
        <v>2025</v>
      </c>
      <c r="T4" t="s">
        <v>43</v>
      </c>
      <c r="U4" t="b">
        <v>1</v>
      </c>
    </row>
    <row r="5" spans="1:21" x14ac:dyDescent="0.25">
      <c r="A5" t="s">
        <v>125</v>
      </c>
      <c r="B5" s="2">
        <v>45902</v>
      </c>
      <c r="C5" t="s">
        <v>204</v>
      </c>
      <c r="D5" s="4">
        <v>13000</v>
      </c>
      <c r="E5" t="s">
        <v>253</v>
      </c>
      <c r="F5" t="s">
        <v>254</v>
      </c>
      <c r="G5" t="s">
        <v>36</v>
      </c>
      <c r="H5" t="s">
        <v>127</v>
      </c>
      <c r="I5" t="s">
        <v>38</v>
      </c>
      <c r="J5" s="3">
        <v>2021</v>
      </c>
      <c r="K5" t="s">
        <v>128</v>
      </c>
      <c r="L5" s="3">
        <v>1600</v>
      </c>
      <c r="M5" s="3">
        <v>4000</v>
      </c>
      <c r="N5" t="s">
        <v>40</v>
      </c>
      <c r="O5" t="s">
        <v>255</v>
      </c>
      <c r="P5" t="b">
        <v>0</v>
      </c>
      <c r="Q5" t="s">
        <v>315</v>
      </c>
      <c r="R5" t="s">
        <v>256</v>
      </c>
      <c r="S5">
        <v>2025</v>
      </c>
      <c r="T5" t="s">
        <v>98</v>
      </c>
      <c r="U5" t="b">
        <v>1</v>
      </c>
    </row>
    <row r="6" spans="1:21" x14ac:dyDescent="0.25">
      <c r="A6" t="s">
        <v>246</v>
      </c>
      <c r="B6" s="2">
        <v>45884</v>
      </c>
      <c r="C6" t="s">
        <v>204</v>
      </c>
      <c r="D6" s="4">
        <v>2500</v>
      </c>
      <c r="E6" t="s">
        <v>247</v>
      </c>
      <c r="F6" t="s">
        <v>248</v>
      </c>
      <c r="G6" t="s">
        <v>47</v>
      </c>
      <c r="H6" t="s">
        <v>249</v>
      </c>
      <c r="I6" t="s">
        <v>38</v>
      </c>
      <c r="J6" s="3">
        <v>2017</v>
      </c>
      <c r="K6" t="s">
        <v>250</v>
      </c>
      <c r="L6" s="3">
        <v>4500</v>
      </c>
      <c r="M6" s="3">
        <v>1000</v>
      </c>
      <c r="N6" t="s">
        <v>40</v>
      </c>
      <c r="O6" t="s">
        <v>251</v>
      </c>
      <c r="P6" t="b">
        <v>0</v>
      </c>
      <c r="Q6" t="s">
        <v>315</v>
      </c>
      <c r="R6" t="s">
        <v>252</v>
      </c>
      <c r="S6">
        <v>2025</v>
      </c>
      <c r="T6" t="s">
        <v>43</v>
      </c>
      <c r="U6" t="b">
        <v>1</v>
      </c>
    </row>
    <row r="7" spans="1:21" x14ac:dyDescent="0.25">
      <c r="A7" t="s">
        <v>239</v>
      </c>
      <c r="B7" s="2">
        <v>45870</v>
      </c>
      <c r="C7" t="s">
        <v>240</v>
      </c>
      <c r="D7" s="4">
        <v>3000</v>
      </c>
      <c r="E7" t="s">
        <v>241</v>
      </c>
      <c r="F7" t="s">
        <v>35</v>
      </c>
      <c r="G7" t="s">
        <v>47</v>
      </c>
      <c r="H7" t="s">
        <v>242</v>
      </c>
      <c r="I7" t="s">
        <v>38</v>
      </c>
      <c r="J7" s="3">
        <v>2019</v>
      </c>
      <c r="K7" t="s">
        <v>243</v>
      </c>
      <c r="L7" s="3">
        <v>500</v>
      </c>
      <c r="M7" s="3" t="s">
        <v>317</v>
      </c>
      <c r="N7" t="s">
        <v>40</v>
      </c>
      <c r="O7" t="s">
        <v>244</v>
      </c>
      <c r="P7" t="b">
        <v>0</v>
      </c>
      <c r="Q7" t="s">
        <v>315</v>
      </c>
      <c r="R7" t="s">
        <v>245</v>
      </c>
      <c r="S7">
        <v>2025</v>
      </c>
      <c r="T7" t="s">
        <v>43</v>
      </c>
      <c r="U7" t="b">
        <v>1</v>
      </c>
    </row>
    <row r="8" spans="1:21" x14ac:dyDescent="0.25">
      <c r="A8" t="s">
        <v>176</v>
      </c>
      <c r="B8" s="2">
        <v>45853</v>
      </c>
      <c r="C8" t="s">
        <v>100</v>
      </c>
      <c r="D8" s="4">
        <v>10000</v>
      </c>
      <c r="E8" t="s">
        <v>228</v>
      </c>
      <c r="F8" t="s">
        <v>229</v>
      </c>
      <c r="G8" t="s">
        <v>36</v>
      </c>
      <c r="H8" t="s">
        <v>37</v>
      </c>
      <c r="I8" t="s">
        <v>38</v>
      </c>
      <c r="J8" s="3">
        <v>2023</v>
      </c>
      <c r="K8" t="s">
        <v>179</v>
      </c>
      <c r="L8" s="3">
        <v>600</v>
      </c>
      <c r="M8" s="3" t="s">
        <v>317</v>
      </c>
      <c r="N8" t="s">
        <v>40</v>
      </c>
      <c r="O8" t="s">
        <v>230</v>
      </c>
      <c r="P8" t="b">
        <v>1</v>
      </c>
      <c r="Q8" t="s">
        <v>314</v>
      </c>
      <c r="R8" t="s">
        <v>231</v>
      </c>
      <c r="S8">
        <v>2025</v>
      </c>
      <c r="T8" t="s">
        <v>98</v>
      </c>
      <c r="U8" t="b">
        <v>1</v>
      </c>
    </row>
    <row r="9" spans="1:21" x14ac:dyDescent="0.25">
      <c r="A9" t="s">
        <v>232</v>
      </c>
      <c r="B9" s="2">
        <v>45853</v>
      </c>
      <c r="C9" t="s">
        <v>87</v>
      </c>
      <c r="D9" s="4">
        <v>2000</v>
      </c>
      <c r="E9" t="s">
        <v>233</v>
      </c>
      <c r="F9" t="s">
        <v>234</v>
      </c>
      <c r="G9" t="s">
        <v>36</v>
      </c>
      <c r="H9" t="s">
        <v>235</v>
      </c>
      <c r="I9" t="s">
        <v>38</v>
      </c>
      <c r="J9" s="3">
        <v>2024</v>
      </c>
      <c r="K9" t="s">
        <v>236</v>
      </c>
      <c r="L9" s="3">
        <v>30</v>
      </c>
      <c r="M9" s="3" t="s">
        <v>317</v>
      </c>
      <c r="N9" t="s">
        <v>40</v>
      </c>
      <c r="O9" t="s">
        <v>237</v>
      </c>
      <c r="P9" t="b">
        <v>0</v>
      </c>
      <c r="Q9" t="s">
        <v>315</v>
      </c>
      <c r="R9" t="s">
        <v>238</v>
      </c>
      <c r="S9">
        <v>2025</v>
      </c>
      <c r="T9" t="s">
        <v>43</v>
      </c>
      <c r="U9" t="b">
        <v>1</v>
      </c>
    </row>
    <row r="10" spans="1:21" x14ac:dyDescent="0.25">
      <c r="A10" t="s">
        <v>223</v>
      </c>
      <c r="B10" s="2">
        <v>45823</v>
      </c>
      <c r="C10" t="s">
        <v>33</v>
      </c>
      <c r="D10" s="4">
        <v>14300</v>
      </c>
      <c r="E10" t="s">
        <v>224</v>
      </c>
      <c r="F10" t="s">
        <v>35</v>
      </c>
      <c r="G10" t="s">
        <v>120</v>
      </c>
      <c r="H10" t="s">
        <v>225</v>
      </c>
      <c r="I10" t="s">
        <v>38</v>
      </c>
      <c r="J10" s="3">
        <v>2016</v>
      </c>
      <c r="K10" t="s">
        <v>226</v>
      </c>
      <c r="L10" s="3">
        <v>1200</v>
      </c>
      <c r="M10" s="3">
        <v>1400</v>
      </c>
      <c r="N10" t="s">
        <v>40</v>
      </c>
      <c r="O10" t="s">
        <v>227</v>
      </c>
      <c r="P10" t="b">
        <v>0</v>
      </c>
      <c r="Q10" t="s">
        <v>315</v>
      </c>
      <c r="R10" t="s">
        <v>95</v>
      </c>
      <c r="S10">
        <v>2025</v>
      </c>
      <c r="T10" t="s">
        <v>98</v>
      </c>
      <c r="U10" t="b">
        <v>1</v>
      </c>
    </row>
    <row r="11" spans="1:21" x14ac:dyDescent="0.25">
      <c r="A11" t="s">
        <v>217</v>
      </c>
      <c r="B11" s="2">
        <v>45809</v>
      </c>
      <c r="C11" t="s">
        <v>100</v>
      </c>
      <c r="D11" s="4">
        <v>243</v>
      </c>
      <c r="E11" t="s">
        <v>218</v>
      </c>
      <c r="F11" t="s">
        <v>219</v>
      </c>
      <c r="G11" t="s">
        <v>47</v>
      </c>
      <c r="H11" t="s">
        <v>220</v>
      </c>
      <c r="I11" t="s">
        <v>38</v>
      </c>
      <c r="J11" s="3">
        <v>2020</v>
      </c>
      <c r="K11" t="s">
        <v>221</v>
      </c>
      <c r="L11" s="3">
        <v>300</v>
      </c>
      <c r="M11" s="3" t="s">
        <v>317</v>
      </c>
      <c r="N11" t="s">
        <v>40</v>
      </c>
      <c r="O11" t="s">
        <v>222</v>
      </c>
      <c r="P11" t="b">
        <v>0</v>
      </c>
      <c r="Q11" t="s">
        <v>315</v>
      </c>
      <c r="R11" t="s">
        <v>107</v>
      </c>
      <c r="S11">
        <v>2025</v>
      </c>
      <c r="T11" t="s">
        <v>76</v>
      </c>
      <c r="U11" t="b">
        <v>1</v>
      </c>
    </row>
    <row r="12" spans="1:21" x14ac:dyDescent="0.25">
      <c r="A12" t="s">
        <v>210</v>
      </c>
      <c r="B12" s="2">
        <v>45778</v>
      </c>
      <c r="C12" t="s">
        <v>164</v>
      </c>
      <c r="D12" s="4">
        <v>500</v>
      </c>
      <c r="E12" t="s">
        <v>211</v>
      </c>
      <c r="F12" t="s">
        <v>212</v>
      </c>
      <c r="G12" t="s">
        <v>47</v>
      </c>
      <c r="H12" t="s">
        <v>213</v>
      </c>
      <c r="I12" t="s">
        <v>38</v>
      </c>
      <c r="J12" s="3">
        <v>2022</v>
      </c>
      <c r="K12" t="s">
        <v>214</v>
      </c>
      <c r="L12" s="3">
        <v>250</v>
      </c>
      <c r="M12" s="3">
        <v>150</v>
      </c>
      <c r="N12" t="s">
        <v>40</v>
      </c>
      <c r="O12" t="s">
        <v>215</v>
      </c>
      <c r="P12" t="b">
        <v>0</v>
      </c>
      <c r="Q12" t="s">
        <v>315</v>
      </c>
      <c r="R12" t="s">
        <v>216</v>
      </c>
      <c r="S12">
        <v>2025</v>
      </c>
      <c r="T12" t="s">
        <v>31</v>
      </c>
      <c r="U12" t="b">
        <v>1</v>
      </c>
    </row>
    <row r="13" spans="1:21" x14ac:dyDescent="0.25">
      <c r="A13" t="s">
        <v>32</v>
      </c>
      <c r="B13" s="2">
        <v>45749</v>
      </c>
      <c r="C13" t="s">
        <v>204</v>
      </c>
      <c r="D13" s="4">
        <v>40000</v>
      </c>
      <c r="E13" t="s">
        <v>205</v>
      </c>
      <c r="F13" t="s">
        <v>206</v>
      </c>
      <c r="G13" t="s">
        <v>36</v>
      </c>
      <c r="H13" t="s">
        <v>37</v>
      </c>
      <c r="I13" t="s">
        <v>38</v>
      </c>
      <c r="J13" s="3">
        <v>2015</v>
      </c>
      <c r="K13" t="s">
        <v>39</v>
      </c>
      <c r="L13" s="3">
        <v>3700</v>
      </c>
      <c r="M13" s="3">
        <v>11600</v>
      </c>
      <c r="N13" t="s">
        <v>207</v>
      </c>
      <c r="O13" t="s">
        <v>208</v>
      </c>
      <c r="P13" t="b">
        <v>0</v>
      </c>
      <c r="Q13" t="s">
        <v>315</v>
      </c>
      <c r="R13" t="s">
        <v>209</v>
      </c>
      <c r="S13">
        <v>2025</v>
      </c>
      <c r="T13" t="s">
        <v>98</v>
      </c>
      <c r="U13" t="b">
        <v>1</v>
      </c>
    </row>
    <row r="14" spans="1:21" x14ac:dyDescent="0.25">
      <c r="A14" t="s">
        <v>199</v>
      </c>
      <c r="B14" s="2">
        <v>45748</v>
      </c>
      <c r="C14" t="s">
        <v>78</v>
      </c>
      <c r="D14" s="4">
        <v>2000</v>
      </c>
      <c r="E14" t="s">
        <v>200</v>
      </c>
      <c r="F14" t="s">
        <v>201</v>
      </c>
      <c r="G14" t="s">
        <v>36</v>
      </c>
      <c r="H14" t="s">
        <v>127</v>
      </c>
      <c r="I14" t="s">
        <v>38</v>
      </c>
      <c r="J14" s="3">
        <v>2024</v>
      </c>
      <c r="K14" t="s">
        <v>202</v>
      </c>
      <c r="L14" s="3">
        <v>30</v>
      </c>
      <c r="M14" s="3" t="s">
        <v>317</v>
      </c>
      <c r="N14" t="s">
        <v>40</v>
      </c>
      <c r="O14" t="s">
        <v>203</v>
      </c>
      <c r="P14" t="b">
        <v>0</v>
      </c>
      <c r="Q14" t="s">
        <v>315</v>
      </c>
      <c r="R14" t="s">
        <v>175</v>
      </c>
      <c r="S14">
        <v>2025</v>
      </c>
      <c r="T14" t="s">
        <v>43</v>
      </c>
      <c r="U14" t="b">
        <v>1</v>
      </c>
    </row>
    <row r="15" spans="1:21" x14ac:dyDescent="0.25">
      <c r="A15" t="s">
        <v>125</v>
      </c>
      <c r="B15" s="2">
        <v>45719</v>
      </c>
      <c r="C15" t="s">
        <v>195</v>
      </c>
      <c r="D15" s="4">
        <v>3500</v>
      </c>
      <c r="E15" t="s">
        <v>196</v>
      </c>
      <c r="F15" t="s">
        <v>197</v>
      </c>
      <c r="G15" t="s">
        <v>36</v>
      </c>
      <c r="H15" t="s">
        <v>127</v>
      </c>
      <c r="I15" t="s">
        <v>38</v>
      </c>
      <c r="J15" s="3">
        <v>2021</v>
      </c>
      <c r="K15" t="s">
        <v>128</v>
      </c>
      <c r="L15" s="3">
        <v>1400</v>
      </c>
      <c r="M15" s="3">
        <v>2800</v>
      </c>
      <c r="N15" t="s">
        <v>40</v>
      </c>
      <c r="O15" t="s">
        <v>198</v>
      </c>
      <c r="P15" t="b">
        <v>0</v>
      </c>
      <c r="Q15" t="s">
        <v>315</v>
      </c>
      <c r="R15" t="s">
        <v>107</v>
      </c>
      <c r="S15">
        <v>2025</v>
      </c>
      <c r="T15" t="s">
        <v>43</v>
      </c>
      <c r="U15" t="b">
        <v>1</v>
      </c>
    </row>
    <row r="16" spans="1:21" x14ac:dyDescent="0.25">
      <c r="A16" t="s">
        <v>190</v>
      </c>
      <c r="B16" s="2">
        <v>45708</v>
      </c>
      <c r="C16" t="s">
        <v>109</v>
      </c>
      <c r="D16" s="4">
        <v>305</v>
      </c>
      <c r="E16" t="s">
        <v>191</v>
      </c>
      <c r="F16" t="s">
        <v>192</v>
      </c>
      <c r="G16" t="s">
        <v>120</v>
      </c>
      <c r="H16" t="s">
        <v>121</v>
      </c>
      <c r="I16" t="s">
        <v>38</v>
      </c>
      <c r="J16" s="3">
        <v>2022</v>
      </c>
      <c r="K16" t="s">
        <v>193</v>
      </c>
      <c r="L16" s="3">
        <v>200</v>
      </c>
      <c r="M16" s="3">
        <v>100</v>
      </c>
      <c r="N16" t="s">
        <v>40</v>
      </c>
      <c r="O16" t="s">
        <v>194</v>
      </c>
      <c r="P16" t="b">
        <v>1</v>
      </c>
      <c r="Q16" t="s">
        <v>314</v>
      </c>
      <c r="R16" t="s">
        <v>107</v>
      </c>
      <c r="S16">
        <v>2025</v>
      </c>
      <c r="T16" t="s">
        <v>76</v>
      </c>
      <c r="U16" t="b">
        <v>1</v>
      </c>
    </row>
    <row r="17" spans="1:21" x14ac:dyDescent="0.25">
      <c r="A17" t="s">
        <v>185</v>
      </c>
      <c r="B17" s="2">
        <v>45707</v>
      </c>
      <c r="C17" t="s">
        <v>71</v>
      </c>
      <c r="D17" s="4">
        <v>480</v>
      </c>
      <c r="E17" t="s">
        <v>186</v>
      </c>
      <c r="F17" t="s">
        <v>187</v>
      </c>
      <c r="G17" t="s">
        <v>120</v>
      </c>
      <c r="H17" t="s">
        <v>171</v>
      </c>
      <c r="I17" t="s">
        <v>38</v>
      </c>
      <c r="J17" s="3">
        <v>2012</v>
      </c>
      <c r="K17" t="s">
        <v>188</v>
      </c>
      <c r="L17" s="3">
        <v>400</v>
      </c>
      <c r="M17" s="3">
        <v>500</v>
      </c>
      <c r="N17" t="s">
        <v>40</v>
      </c>
      <c r="O17" t="s">
        <v>189</v>
      </c>
      <c r="P17" t="b">
        <v>0</v>
      </c>
      <c r="Q17" t="s">
        <v>315</v>
      </c>
      <c r="R17" t="s">
        <v>107</v>
      </c>
      <c r="S17">
        <v>2025</v>
      </c>
      <c r="T17" t="s">
        <v>76</v>
      </c>
      <c r="U17" t="b">
        <v>1</v>
      </c>
    </row>
    <row r="18" spans="1:21" x14ac:dyDescent="0.25">
      <c r="A18" t="s">
        <v>148</v>
      </c>
      <c r="B18" s="2">
        <v>45684</v>
      </c>
      <c r="C18" t="s">
        <v>100</v>
      </c>
      <c r="D18" s="4">
        <v>2000</v>
      </c>
      <c r="E18" t="s">
        <v>182</v>
      </c>
      <c r="F18" t="s">
        <v>183</v>
      </c>
      <c r="G18" t="s">
        <v>36</v>
      </c>
      <c r="H18" t="s">
        <v>151</v>
      </c>
      <c r="I18" t="s">
        <v>152</v>
      </c>
      <c r="J18" s="3">
        <v>2023</v>
      </c>
      <c r="K18" t="s">
        <v>153</v>
      </c>
      <c r="L18" s="3">
        <v>700</v>
      </c>
      <c r="M18" s="3">
        <v>300</v>
      </c>
      <c r="N18" t="s">
        <v>40</v>
      </c>
      <c r="O18" t="s">
        <v>184</v>
      </c>
      <c r="P18" t="b">
        <v>1</v>
      </c>
      <c r="Q18" t="s">
        <v>314</v>
      </c>
      <c r="R18" t="s">
        <v>155</v>
      </c>
      <c r="S18">
        <v>2025</v>
      </c>
      <c r="T18" t="s">
        <v>43</v>
      </c>
      <c r="U18" t="b">
        <v>0</v>
      </c>
    </row>
    <row r="19" spans="1:21" x14ac:dyDescent="0.25">
      <c r="A19" t="s">
        <v>176</v>
      </c>
      <c r="B19" s="2">
        <v>45649</v>
      </c>
      <c r="C19" t="s">
        <v>100</v>
      </c>
      <c r="D19" s="4">
        <v>6000</v>
      </c>
      <c r="E19" t="s">
        <v>177</v>
      </c>
      <c r="F19" t="s">
        <v>178</v>
      </c>
      <c r="G19" t="s">
        <v>36</v>
      </c>
      <c r="H19" t="s">
        <v>37</v>
      </c>
      <c r="I19" t="s">
        <v>38</v>
      </c>
      <c r="J19" s="3">
        <v>2023</v>
      </c>
      <c r="K19" t="s">
        <v>179</v>
      </c>
      <c r="L19" s="3">
        <v>400</v>
      </c>
      <c r="M19" s="3" t="s">
        <v>317</v>
      </c>
      <c r="N19" t="s">
        <v>40</v>
      </c>
      <c r="O19" t="s">
        <v>180</v>
      </c>
      <c r="P19" t="b">
        <v>1</v>
      </c>
      <c r="Q19" t="s">
        <v>314</v>
      </c>
      <c r="R19" t="s">
        <v>181</v>
      </c>
      <c r="S19">
        <v>2024</v>
      </c>
      <c r="T19" t="s">
        <v>43</v>
      </c>
      <c r="U19" t="b">
        <v>1</v>
      </c>
    </row>
    <row r="20" spans="1:21" x14ac:dyDescent="0.25">
      <c r="A20" t="s">
        <v>168</v>
      </c>
      <c r="B20" s="2">
        <v>45617</v>
      </c>
      <c r="C20" t="s">
        <v>100</v>
      </c>
      <c r="D20" s="4">
        <v>650</v>
      </c>
      <c r="E20" t="s">
        <v>169</v>
      </c>
      <c r="F20" t="s">
        <v>170</v>
      </c>
      <c r="G20" t="s">
        <v>120</v>
      </c>
      <c r="H20" t="s">
        <v>171</v>
      </c>
      <c r="I20" t="s">
        <v>38</v>
      </c>
      <c r="J20" s="3">
        <v>2017</v>
      </c>
      <c r="K20" t="s">
        <v>172</v>
      </c>
      <c r="L20" s="3">
        <v>1300</v>
      </c>
      <c r="M20" s="3">
        <v>1900</v>
      </c>
      <c r="N20" t="s">
        <v>173</v>
      </c>
      <c r="O20" t="s">
        <v>174</v>
      </c>
      <c r="P20" t="b">
        <v>0</v>
      </c>
      <c r="Q20" t="s">
        <v>315</v>
      </c>
      <c r="R20" t="s">
        <v>175</v>
      </c>
      <c r="S20">
        <v>2024</v>
      </c>
      <c r="T20" t="s">
        <v>31</v>
      </c>
      <c r="U20" t="b">
        <v>1</v>
      </c>
    </row>
    <row r="21" spans="1:21" x14ac:dyDescent="0.25">
      <c r="A21" t="s">
        <v>32</v>
      </c>
      <c r="B21" s="2">
        <v>45567</v>
      </c>
      <c r="C21" t="s">
        <v>164</v>
      </c>
      <c r="D21" s="4">
        <v>6600</v>
      </c>
      <c r="E21" t="s">
        <v>158</v>
      </c>
      <c r="F21" t="s">
        <v>165</v>
      </c>
      <c r="G21" t="s">
        <v>36</v>
      </c>
      <c r="H21" t="s">
        <v>37</v>
      </c>
      <c r="I21" t="s">
        <v>38</v>
      </c>
      <c r="J21" s="3">
        <v>2015</v>
      </c>
      <c r="K21" t="s">
        <v>39</v>
      </c>
      <c r="L21" s="3">
        <v>3000</v>
      </c>
      <c r="M21" s="3">
        <v>5400</v>
      </c>
      <c r="N21" t="s">
        <v>40</v>
      </c>
      <c r="O21" t="s">
        <v>166</v>
      </c>
      <c r="P21" t="b">
        <v>0</v>
      </c>
      <c r="Q21" t="s">
        <v>315</v>
      </c>
      <c r="R21" t="s">
        <v>167</v>
      </c>
      <c r="S21">
        <v>2024</v>
      </c>
      <c r="T21" t="s">
        <v>43</v>
      </c>
      <c r="U21" t="b">
        <v>1</v>
      </c>
    </row>
    <row r="22" spans="1:21" x14ac:dyDescent="0.25">
      <c r="A22" t="s">
        <v>156</v>
      </c>
      <c r="B22" s="2">
        <v>45554</v>
      </c>
      <c r="C22" t="s">
        <v>157</v>
      </c>
      <c r="D22" s="4">
        <v>10000</v>
      </c>
      <c r="E22" t="s">
        <v>158</v>
      </c>
      <c r="F22" t="s">
        <v>159</v>
      </c>
      <c r="G22" t="s">
        <v>120</v>
      </c>
      <c r="H22" t="s">
        <v>160</v>
      </c>
      <c r="I22" t="s">
        <v>38</v>
      </c>
      <c r="J22" s="3">
        <v>2013</v>
      </c>
      <c r="K22" t="s">
        <v>161</v>
      </c>
      <c r="L22" s="3">
        <v>6000</v>
      </c>
      <c r="M22" s="3">
        <v>2400</v>
      </c>
      <c r="N22" t="s">
        <v>40</v>
      </c>
      <c r="O22" t="s">
        <v>162</v>
      </c>
      <c r="P22" t="b">
        <v>1</v>
      </c>
      <c r="Q22" t="s">
        <v>314</v>
      </c>
      <c r="R22" t="s">
        <v>163</v>
      </c>
      <c r="S22">
        <v>2024</v>
      </c>
      <c r="T22" t="s">
        <v>98</v>
      </c>
      <c r="U22" t="b">
        <v>1</v>
      </c>
    </row>
    <row r="23" spans="1:21" x14ac:dyDescent="0.25">
      <c r="A23" t="s">
        <v>148</v>
      </c>
      <c r="B23" s="2">
        <v>45454</v>
      </c>
      <c r="C23" t="s">
        <v>109</v>
      </c>
      <c r="D23" s="4">
        <v>640</v>
      </c>
      <c r="E23" t="s">
        <v>149</v>
      </c>
      <c r="F23" t="s">
        <v>150</v>
      </c>
      <c r="G23" t="s">
        <v>36</v>
      </c>
      <c r="H23" t="s">
        <v>151</v>
      </c>
      <c r="I23" t="s">
        <v>152</v>
      </c>
      <c r="J23" s="3">
        <v>2023</v>
      </c>
      <c r="K23" t="s">
        <v>153</v>
      </c>
      <c r="L23" s="3">
        <v>400</v>
      </c>
      <c r="M23" s="3">
        <v>80</v>
      </c>
      <c r="N23" t="s">
        <v>40</v>
      </c>
      <c r="O23" t="s">
        <v>154</v>
      </c>
      <c r="P23" t="b">
        <v>1</v>
      </c>
      <c r="Q23" t="s">
        <v>314</v>
      </c>
      <c r="R23" t="s">
        <v>155</v>
      </c>
      <c r="S23">
        <v>2024</v>
      </c>
      <c r="T23" t="s">
        <v>31</v>
      </c>
      <c r="U23" t="b">
        <v>0</v>
      </c>
    </row>
    <row r="24" spans="1:21" x14ac:dyDescent="0.25">
      <c r="A24" t="s">
        <v>141</v>
      </c>
      <c r="B24" s="2">
        <v>45419</v>
      </c>
      <c r="C24" t="s">
        <v>100</v>
      </c>
      <c r="D24" s="4">
        <v>1050</v>
      </c>
      <c r="E24" t="s">
        <v>142</v>
      </c>
      <c r="F24" t="s">
        <v>143</v>
      </c>
      <c r="G24" t="s">
        <v>47</v>
      </c>
      <c r="H24" t="s">
        <v>144</v>
      </c>
      <c r="I24" t="s">
        <v>26</v>
      </c>
      <c r="J24" s="3">
        <v>2017</v>
      </c>
      <c r="K24" t="s">
        <v>145</v>
      </c>
      <c r="L24" s="3">
        <v>350</v>
      </c>
      <c r="M24" s="3" t="s">
        <v>317</v>
      </c>
      <c r="N24" t="s">
        <v>40</v>
      </c>
      <c r="O24" t="s">
        <v>146</v>
      </c>
      <c r="P24" t="b">
        <v>0</v>
      </c>
      <c r="Q24" t="s">
        <v>315</v>
      </c>
      <c r="R24" t="s">
        <v>147</v>
      </c>
      <c r="S24">
        <v>2024</v>
      </c>
      <c r="T24" t="s">
        <v>43</v>
      </c>
      <c r="U24" t="b">
        <v>0</v>
      </c>
    </row>
    <row r="25" spans="1:21" x14ac:dyDescent="0.25">
      <c r="A25" t="s">
        <v>125</v>
      </c>
      <c r="B25" s="2">
        <v>45352</v>
      </c>
      <c r="C25" t="s">
        <v>71</v>
      </c>
      <c r="D25" s="4">
        <v>2750</v>
      </c>
      <c r="E25" t="s">
        <v>137</v>
      </c>
      <c r="F25" t="s">
        <v>138</v>
      </c>
      <c r="G25" t="s">
        <v>36</v>
      </c>
      <c r="H25" t="s">
        <v>127</v>
      </c>
      <c r="I25" t="s">
        <v>38</v>
      </c>
      <c r="J25" s="3">
        <v>2021</v>
      </c>
      <c r="K25" t="s">
        <v>128</v>
      </c>
      <c r="L25" s="3">
        <v>1000</v>
      </c>
      <c r="M25" s="3">
        <v>850</v>
      </c>
      <c r="N25" t="s">
        <v>40</v>
      </c>
      <c r="O25" t="s">
        <v>139</v>
      </c>
      <c r="P25" t="b">
        <v>0</v>
      </c>
      <c r="Q25" t="s">
        <v>315</v>
      </c>
      <c r="R25" t="s">
        <v>140</v>
      </c>
      <c r="S25">
        <v>2024</v>
      </c>
      <c r="T25" t="s">
        <v>43</v>
      </c>
      <c r="U25" t="b">
        <v>1</v>
      </c>
    </row>
    <row r="26" spans="1:21" x14ac:dyDescent="0.25">
      <c r="A26" t="s">
        <v>131</v>
      </c>
      <c r="B26" s="2">
        <v>45351</v>
      </c>
      <c r="C26" t="s">
        <v>109</v>
      </c>
      <c r="D26" s="4">
        <v>675</v>
      </c>
      <c r="E26" t="s">
        <v>132</v>
      </c>
      <c r="F26" t="s">
        <v>133</v>
      </c>
      <c r="G26" t="s">
        <v>47</v>
      </c>
      <c r="H26" t="s">
        <v>134</v>
      </c>
      <c r="I26" t="s">
        <v>38</v>
      </c>
      <c r="J26" s="3">
        <v>2022</v>
      </c>
      <c r="K26" t="s">
        <v>135</v>
      </c>
      <c r="L26" s="3">
        <v>700</v>
      </c>
      <c r="M26" s="3" t="s">
        <v>317</v>
      </c>
      <c r="N26" t="s">
        <v>40</v>
      </c>
      <c r="O26" t="s">
        <v>136</v>
      </c>
      <c r="P26" t="b">
        <v>0</v>
      </c>
      <c r="Q26" t="s">
        <v>315</v>
      </c>
      <c r="R26" t="s">
        <v>95</v>
      </c>
      <c r="S26">
        <v>2024</v>
      </c>
      <c r="T26" t="s">
        <v>31</v>
      </c>
      <c r="U26" t="b">
        <v>1</v>
      </c>
    </row>
    <row r="27" spans="1:21" x14ac:dyDescent="0.25">
      <c r="A27" t="s">
        <v>125</v>
      </c>
      <c r="B27" s="2">
        <v>45194</v>
      </c>
      <c r="C27" t="s">
        <v>33</v>
      </c>
      <c r="D27" s="4">
        <v>4000</v>
      </c>
      <c r="E27" t="s">
        <v>126</v>
      </c>
      <c r="F27" t="s">
        <v>35</v>
      </c>
      <c r="G27" t="s">
        <v>36</v>
      </c>
      <c r="H27" t="s">
        <v>127</v>
      </c>
      <c r="I27" t="s">
        <v>38</v>
      </c>
      <c r="J27" s="3">
        <v>2021</v>
      </c>
      <c r="K27" t="s">
        <v>128</v>
      </c>
      <c r="L27" s="3">
        <v>500</v>
      </c>
      <c r="M27" s="3">
        <v>200</v>
      </c>
      <c r="N27" t="s">
        <v>40</v>
      </c>
      <c r="O27" t="s">
        <v>129</v>
      </c>
      <c r="P27" t="b">
        <v>0</v>
      </c>
      <c r="Q27" t="s">
        <v>315</v>
      </c>
      <c r="R27" t="s">
        <v>130</v>
      </c>
      <c r="S27">
        <v>2023</v>
      </c>
      <c r="T27" t="s">
        <v>43</v>
      </c>
      <c r="U27" t="b">
        <v>1</v>
      </c>
    </row>
    <row r="28" spans="1:21" x14ac:dyDescent="0.25">
      <c r="A28" t="s">
        <v>117</v>
      </c>
      <c r="B28" s="2">
        <v>45162</v>
      </c>
      <c r="C28" t="s">
        <v>71</v>
      </c>
      <c r="D28" s="4">
        <v>235</v>
      </c>
      <c r="E28" t="s">
        <v>118</v>
      </c>
      <c r="F28" t="s">
        <v>119</v>
      </c>
      <c r="G28" t="s">
        <v>120</v>
      </c>
      <c r="H28" t="s">
        <v>121</v>
      </c>
      <c r="I28" t="s">
        <v>38</v>
      </c>
      <c r="J28" s="3">
        <v>2016</v>
      </c>
      <c r="K28" t="s">
        <v>122</v>
      </c>
      <c r="L28" s="3">
        <v>250</v>
      </c>
      <c r="M28" s="3">
        <v>70</v>
      </c>
      <c r="N28" t="s">
        <v>40</v>
      </c>
      <c r="O28" t="s">
        <v>123</v>
      </c>
      <c r="P28" t="b">
        <v>1</v>
      </c>
      <c r="Q28" t="s">
        <v>314</v>
      </c>
      <c r="R28" t="s">
        <v>124</v>
      </c>
      <c r="S28">
        <v>2023</v>
      </c>
      <c r="T28" t="s">
        <v>76</v>
      </c>
      <c r="U28" t="b">
        <v>1</v>
      </c>
    </row>
    <row r="29" spans="1:21" x14ac:dyDescent="0.25">
      <c r="A29" t="s">
        <v>108</v>
      </c>
      <c r="B29" s="2">
        <v>45106</v>
      </c>
      <c r="C29" t="s">
        <v>109</v>
      </c>
      <c r="D29" s="4">
        <v>1300</v>
      </c>
      <c r="E29" t="s">
        <v>110</v>
      </c>
      <c r="F29" t="s">
        <v>111</v>
      </c>
      <c r="G29" t="s">
        <v>36</v>
      </c>
      <c r="H29" t="s">
        <v>112</v>
      </c>
      <c r="I29" t="s">
        <v>38</v>
      </c>
      <c r="J29" s="3">
        <v>2022</v>
      </c>
      <c r="K29" t="s">
        <v>113</v>
      </c>
      <c r="L29" s="3">
        <v>200</v>
      </c>
      <c r="M29" s="3" t="s">
        <v>317</v>
      </c>
      <c r="N29" t="s">
        <v>114</v>
      </c>
      <c r="O29" t="s">
        <v>115</v>
      </c>
      <c r="P29" t="b">
        <v>0</v>
      </c>
      <c r="Q29" t="s">
        <v>315</v>
      </c>
      <c r="R29" t="s">
        <v>116</v>
      </c>
      <c r="S29">
        <v>2023</v>
      </c>
      <c r="T29" t="s">
        <v>43</v>
      </c>
      <c r="U29" t="b">
        <v>1</v>
      </c>
    </row>
    <row r="30" spans="1:21" x14ac:dyDescent="0.25">
      <c r="A30" t="s">
        <v>99</v>
      </c>
      <c r="B30" s="2">
        <v>45085</v>
      </c>
      <c r="C30" t="s">
        <v>100</v>
      </c>
      <c r="D30" s="4">
        <v>270</v>
      </c>
      <c r="E30" t="s">
        <v>101</v>
      </c>
      <c r="F30" t="s">
        <v>102</v>
      </c>
      <c r="G30" t="s">
        <v>36</v>
      </c>
      <c r="H30" t="s">
        <v>103</v>
      </c>
      <c r="I30" t="s">
        <v>104</v>
      </c>
      <c r="J30" s="3">
        <v>2019</v>
      </c>
      <c r="K30" t="s">
        <v>105</v>
      </c>
      <c r="L30" s="3">
        <v>450</v>
      </c>
      <c r="M30" s="3">
        <v>35</v>
      </c>
      <c r="N30" t="s">
        <v>40</v>
      </c>
      <c r="O30" t="s">
        <v>106</v>
      </c>
      <c r="P30" t="b">
        <v>1</v>
      </c>
      <c r="Q30" t="s">
        <v>314</v>
      </c>
      <c r="R30" t="s">
        <v>107</v>
      </c>
      <c r="S30">
        <v>2023</v>
      </c>
      <c r="T30" t="s">
        <v>76</v>
      </c>
      <c r="U30" t="b">
        <v>0</v>
      </c>
    </row>
    <row r="31" spans="1:21" x14ac:dyDescent="0.25">
      <c r="A31" t="s">
        <v>32</v>
      </c>
      <c r="B31" s="2">
        <v>44949</v>
      </c>
      <c r="C31" t="s">
        <v>33</v>
      </c>
      <c r="D31" s="4">
        <v>10000</v>
      </c>
      <c r="E31" t="s">
        <v>34</v>
      </c>
      <c r="F31" t="s">
        <v>35</v>
      </c>
      <c r="G31" t="s">
        <v>36</v>
      </c>
      <c r="H31" t="s">
        <v>37</v>
      </c>
      <c r="I31" t="s">
        <v>38</v>
      </c>
      <c r="J31" s="3">
        <v>2015</v>
      </c>
      <c r="K31" t="s">
        <v>39</v>
      </c>
      <c r="L31" s="3">
        <v>770</v>
      </c>
      <c r="M31" s="3">
        <v>1600</v>
      </c>
      <c r="N31" t="s">
        <v>40</v>
      </c>
      <c r="O31" t="s">
        <v>96</v>
      </c>
      <c r="P31" t="b">
        <v>0</v>
      </c>
      <c r="Q31" t="s">
        <v>315</v>
      </c>
      <c r="R31" t="s">
        <v>97</v>
      </c>
      <c r="S31">
        <v>2023</v>
      </c>
      <c r="T31" t="s">
        <v>98</v>
      </c>
      <c r="U31" t="b">
        <v>1</v>
      </c>
    </row>
    <row r="32" spans="1:21" x14ac:dyDescent="0.25">
      <c r="A32" t="s">
        <v>86</v>
      </c>
      <c r="B32" s="2">
        <v>44851</v>
      </c>
      <c r="C32" t="s">
        <v>87</v>
      </c>
      <c r="D32" s="4">
        <v>101</v>
      </c>
      <c r="E32" t="s">
        <v>88</v>
      </c>
      <c r="F32" t="s">
        <v>89</v>
      </c>
      <c r="G32" t="s">
        <v>90</v>
      </c>
      <c r="H32" t="s">
        <v>91</v>
      </c>
      <c r="I32" t="s">
        <v>26</v>
      </c>
      <c r="J32" s="3">
        <v>2019</v>
      </c>
      <c r="K32" t="s">
        <v>92</v>
      </c>
      <c r="L32" s="3">
        <v>150</v>
      </c>
      <c r="M32" s="3">
        <v>11</v>
      </c>
      <c r="N32" t="s">
        <v>93</v>
      </c>
      <c r="O32" t="s">
        <v>94</v>
      </c>
      <c r="P32" t="b">
        <v>1</v>
      </c>
      <c r="Q32" t="s">
        <v>314</v>
      </c>
      <c r="R32" t="s">
        <v>95</v>
      </c>
      <c r="S32">
        <v>2022</v>
      </c>
      <c r="T32" t="s">
        <v>76</v>
      </c>
      <c r="U32" t="b">
        <v>0</v>
      </c>
    </row>
    <row r="33" spans="1:21" x14ac:dyDescent="0.25">
      <c r="A33" t="s">
        <v>77</v>
      </c>
      <c r="B33" s="2">
        <v>44677</v>
      </c>
      <c r="C33" t="s">
        <v>78</v>
      </c>
      <c r="D33" s="4">
        <v>65</v>
      </c>
      <c r="E33" t="s">
        <v>79</v>
      </c>
      <c r="F33" t="s">
        <v>80</v>
      </c>
      <c r="G33" t="s">
        <v>47</v>
      </c>
      <c r="H33" t="s">
        <v>81</v>
      </c>
      <c r="I33" t="s">
        <v>38</v>
      </c>
      <c r="J33" s="3">
        <v>2022</v>
      </c>
      <c r="K33" t="s">
        <v>82</v>
      </c>
      <c r="L33" s="3">
        <v>40</v>
      </c>
      <c r="M33" s="3" t="s">
        <v>317</v>
      </c>
      <c r="N33" t="s">
        <v>83</v>
      </c>
      <c r="O33" t="s">
        <v>84</v>
      </c>
      <c r="P33" t="b">
        <v>0</v>
      </c>
      <c r="Q33" t="s">
        <v>315</v>
      </c>
      <c r="R33" t="s">
        <v>85</v>
      </c>
      <c r="S33">
        <v>2022</v>
      </c>
      <c r="T33" t="s">
        <v>53</v>
      </c>
      <c r="U33" t="b">
        <v>1</v>
      </c>
    </row>
    <row r="34" spans="1:21" x14ac:dyDescent="0.25">
      <c r="A34" t="s">
        <v>32</v>
      </c>
      <c r="B34" s="2">
        <v>44652</v>
      </c>
      <c r="C34" t="s">
        <v>71</v>
      </c>
      <c r="D34" s="4">
        <v>300</v>
      </c>
      <c r="E34" t="s">
        <v>72</v>
      </c>
      <c r="F34" t="s">
        <v>73</v>
      </c>
      <c r="G34" t="s">
        <v>36</v>
      </c>
      <c r="H34" t="s">
        <v>37</v>
      </c>
      <c r="I34" t="s">
        <v>38</v>
      </c>
      <c r="J34" s="3">
        <v>2015</v>
      </c>
      <c r="K34" t="s">
        <v>39</v>
      </c>
      <c r="L34" s="3">
        <v>375</v>
      </c>
      <c r="M34" s="3">
        <v>36</v>
      </c>
      <c r="N34" t="s">
        <v>40</v>
      </c>
      <c r="O34" t="s">
        <v>74</v>
      </c>
      <c r="P34" t="b">
        <v>0</v>
      </c>
      <c r="Q34" t="s">
        <v>315</v>
      </c>
      <c r="R34" t="s">
        <v>75</v>
      </c>
      <c r="S34">
        <v>2022</v>
      </c>
      <c r="T34" t="s">
        <v>76</v>
      </c>
      <c r="U34" t="b">
        <v>1</v>
      </c>
    </row>
    <row r="35" spans="1:21" x14ac:dyDescent="0.25">
      <c r="A35" t="s">
        <v>62</v>
      </c>
      <c r="B35" s="2">
        <v>44550</v>
      </c>
      <c r="C35" t="s">
        <v>55</v>
      </c>
      <c r="D35" s="4">
        <v>740</v>
      </c>
      <c r="E35" t="s">
        <v>63</v>
      </c>
      <c r="F35" t="s">
        <v>64</v>
      </c>
      <c r="G35" t="s">
        <v>47</v>
      </c>
      <c r="H35" t="s">
        <v>65</v>
      </c>
      <c r="I35" t="s">
        <v>66</v>
      </c>
      <c r="J35" s="3">
        <v>2014</v>
      </c>
      <c r="K35" t="s">
        <v>67</v>
      </c>
      <c r="L35" s="3">
        <v>6000</v>
      </c>
      <c r="M35" s="3">
        <v>700</v>
      </c>
      <c r="N35" t="s">
        <v>68</v>
      </c>
      <c r="O35" t="s">
        <v>69</v>
      </c>
      <c r="P35" t="b">
        <v>0</v>
      </c>
      <c r="Q35" t="s">
        <v>315</v>
      </c>
      <c r="R35" t="s">
        <v>70</v>
      </c>
      <c r="S35">
        <v>2021</v>
      </c>
      <c r="T35" t="s">
        <v>31</v>
      </c>
      <c r="U35" t="b">
        <v>0</v>
      </c>
    </row>
    <row r="36" spans="1:21" x14ac:dyDescent="0.25">
      <c r="A36" t="s">
        <v>54</v>
      </c>
      <c r="B36" s="2">
        <v>44307</v>
      </c>
      <c r="C36" t="s">
        <v>55</v>
      </c>
      <c r="D36" s="4">
        <v>1340</v>
      </c>
      <c r="E36" t="s">
        <v>46</v>
      </c>
      <c r="F36" t="s">
        <v>56</v>
      </c>
      <c r="G36" t="s">
        <v>47</v>
      </c>
      <c r="H36" t="s">
        <v>57</v>
      </c>
      <c r="I36" t="s">
        <v>38</v>
      </c>
      <c r="J36" s="3">
        <v>2005</v>
      </c>
      <c r="K36" t="s">
        <v>58</v>
      </c>
      <c r="L36" s="3">
        <v>4000</v>
      </c>
      <c r="M36" s="3">
        <v>892</v>
      </c>
      <c r="N36" t="s">
        <v>59</v>
      </c>
      <c r="O36" t="s">
        <v>60</v>
      </c>
      <c r="P36" t="b">
        <v>0</v>
      </c>
      <c r="Q36" t="s">
        <v>315</v>
      </c>
      <c r="R36" t="s">
        <v>61</v>
      </c>
      <c r="S36">
        <v>2021</v>
      </c>
      <c r="T36" t="s">
        <v>43</v>
      </c>
      <c r="U36" t="b">
        <v>1</v>
      </c>
    </row>
    <row r="37" spans="1:21" x14ac:dyDescent="0.25">
      <c r="A37" t="s">
        <v>44</v>
      </c>
      <c r="B37" s="2">
        <v>44104</v>
      </c>
      <c r="C37" t="s">
        <v>45</v>
      </c>
      <c r="D37" s="4">
        <v>0</v>
      </c>
      <c r="E37" t="s">
        <v>46</v>
      </c>
      <c r="F37" t="s">
        <v>23</v>
      </c>
      <c r="G37" t="s">
        <v>47</v>
      </c>
      <c r="H37" t="s">
        <v>48</v>
      </c>
      <c r="I37" t="s">
        <v>38</v>
      </c>
      <c r="J37" s="3">
        <v>2003</v>
      </c>
      <c r="K37" t="s">
        <v>49</v>
      </c>
      <c r="L37" s="3">
        <v>2400</v>
      </c>
      <c r="M37" s="3">
        <v>1093</v>
      </c>
      <c r="N37" t="s">
        <v>50</v>
      </c>
      <c r="O37" t="s">
        <v>51</v>
      </c>
      <c r="P37" t="b">
        <v>0</v>
      </c>
      <c r="Q37" t="s">
        <v>315</v>
      </c>
      <c r="R37" t="s">
        <v>52</v>
      </c>
      <c r="S37">
        <v>2020</v>
      </c>
      <c r="T37" t="s">
        <v>53</v>
      </c>
      <c r="U37" t="b">
        <v>1</v>
      </c>
    </row>
    <row r="38" spans="1:21" x14ac:dyDescent="0.25">
      <c r="A38" t="s">
        <v>32</v>
      </c>
      <c r="B38" s="2">
        <v>43668</v>
      </c>
      <c r="C38" t="s">
        <v>33</v>
      </c>
      <c r="D38" s="4">
        <v>1000</v>
      </c>
      <c r="E38" t="s">
        <v>34</v>
      </c>
      <c r="F38" t="s">
        <v>35</v>
      </c>
      <c r="G38" t="s">
        <v>36</v>
      </c>
      <c r="H38" t="s">
        <v>37</v>
      </c>
      <c r="I38" t="s">
        <v>38</v>
      </c>
      <c r="J38" s="3">
        <v>2015</v>
      </c>
      <c r="K38" t="s">
        <v>39</v>
      </c>
      <c r="L38" s="3">
        <v>120</v>
      </c>
      <c r="M38" s="3" t="s">
        <v>317</v>
      </c>
      <c r="N38" t="s">
        <v>40</v>
      </c>
      <c r="O38" t="s">
        <v>41</v>
      </c>
      <c r="P38" t="b">
        <v>1</v>
      </c>
      <c r="Q38" t="s">
        <v>314</v>
      </c>
      <c r="R38" t="s">
        <v>42</v>
      </c>
      <c r="S38">
        <v>2019</v>
      </c>
      <c r="T38" t="s">
        <v>43</v>
      </c>
      <c r="U38" t="b">
        <v>1</v>
      </c>
    </row>
    <row r="39" spans="1:21" x14ac:dyDescent="0.25">
      <c r="A39" t="s">
        <v>316</v>
      </c>
      <c r="B39" s="2">
        <v>41665</v>
      </c>
      <c r="C39" t="s">
        <v>21</v>
      </c>
      <c r="D39" s="4">
        <v>500</v>
      </c>
      <c r="E39" t="s">
        <v>22</v>
      </c>
      <c r="F39" t="s">
        <v>23</v>
      </c>
      <c r="G39" t="s">
        <v>24</v>
      </c>
      <c r="H39" t="s">
        <v>25</v>
      </c>
      <c r="I39" t="s">
        <v>26</v>
      </c>
      <c r="J39" s="3">
        <v>2010</v>
      </c>
      <c r="K39" t="s">
        <v>27</v>
      </c>
      <c r="L39" s="3">
        <v>400</v>
      </c>
      <c r="M39" s="3" t="s">
        <v>317</v>
      </c>
      <c r="N39" t="s">
        <v>28</v>
      </c>
      <c r="O39" t="s">
        <v>29</v>
      </c>
      <c r="P39" t="b">
        <v>1</v>
      </c>
      <c r="Q39" t="s">
        <v>314</v>
      </c>
      <c r="R39" t="s">
        <v>30</v>
      </c>
      <c r="S39">
        <v>2014</v>
      </c>
      <c r="T39" t="s">
        <v>31</v>
      </c>
      <c r="U39" t="b">
        <v>0</v>
      </c>
    </row>
    <row r="40" spans="1:21" x14ac:dyDescent="0.25">
      <c r="B40" s="2"/>
      <c r="D40" s="6">
        <f>SUBTOTAL(109,Table1_1[Amount (millions) ])</f>
        <v>155544</v>
      </c>
      <c r="J40" s="3"/>
      <c r="K40" t="s">
        <v>326</v>
      </c>
      <c r="L40" s="3">
        <f>SUBTOTAL(109,Table1_1[No. of employees_approx])</f>
        <v>51365</v>
      </c>
      <c r="M40" s="3">
        <f>SUBTOTAL(109,Table1_1[Annual_revenue (millions)])</f>
        <v>41117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EFA6-66C5-47E3-9D83-12A7AC9B2F7D}">
  <dimension ref="O1:T3"/>
  <sheetViews>
    <sheetView tabSelected="1" zoomScale="90" zoomScaleNormal="90" workbookViewId="0">
      <selection activeCell="V3" sqref="V3"/>
    </sheetView>
  </sheetViews>
  <sheetFormatPr defaultRowHeight="15" x14ac:dyDescent="0.25"/>
  <cols>
    <col min="9" max="9" width="9.5703125" customWidth="1"/>
    <col min="20" max="20" width="7.28515625" customWidth="1"/>
  </cols>
  <sheetData>
    <row r="1" spans="15:20" x14ac:dyDescent="0.25">
      <c r="O1" s="12"/>
      <c r="P1" s="13">
        <f>Analysized_Table!D40</f>
        <v>155544</v>
      </c>
      <c r="Q1" s="14"/>
      <c r="R1" s="14"/>
      <c r="S1" s="14"/>
      <c r="T1" s="14"/>
    </row>
    <row r="2" spans="15:20" x14ac:dyDescent="0.25">
      <c r="O2" s="12"/>
      <c r="P2" s="14"/>
      <c r="Q2" s="14"/>
      <c r="R2" s="14"/>
      <c r="S2" s="14"/>
      <c r="T2" s="14"/>
    </row>
    <row r="3" spans="15:20" x14ac:dyDescent="0.25">
      <c r="O3" s="12"/>
      <c r="P3" s="14"/>
      <c r="Q3" s="14"/>
      <c r="R3" s="14"/>
      <c r="S3" s="14"/>
      <c r="T3" s="14"/>
    </row>
  </sheetData>
  <mergeCells count="1">
    <mergeCell ref="P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CD3B-B8F6-4848-A4B2-C72FE0F027E8}">
  <dimension ref="A2:K8"/>
  <sheetViews>
    <sheetView workbookViewId="0">
      <selection activeCell="B9" sqref="B9"/>
    </sheetView>
  </sheetViews>
  <sheetFormatPr defaultRowHeight="15" x14ac:dyDescent="0.25"/>
  <sheetData>
    <row r="2" spans="1:11" x14ac:dyDescent="0.25">
      <c r="F2" s="11"/>
      <c r="G2" s="11"/>
      <c r="H2" s="11"/>
      <c r="I2" s="11"/>
      <c r="J2" s="11"/>
      <c r="K2" s="11"/>
    </row>
    <row r="3" spans="1:11" x14ac:dyDescent="0.25">
      <c r="F3" s="11"/>
      <c r="G3" s="11"/>
      <c r="H3" s="11"/>
      <c r="I3" s="11"/>
      <c r="J3" s="11"/>
      <c r="K3" s="11"/>
    </row>
    <row r="4" spans="1:11" x14ac:dyDescent="0.25">
      <c r="A4" s="3">
        <v>1</v>
      </c>
      <c r="B4" t="s">
        <v>329</v>
      </c>
    </row>
    <row r="5" spans="1:11" x14ac:dyDescent="0.25">
      <c r="A5" s="3">
        <v>2</v>
      </c>
      <c r="B5" t="s">
        <v>328</v>
      </c>
    </row>
    <row r="6" spans="1:11" x14ac:dyDescent="0.25">
      <c r="A6" s="3">
        <v>3</v>
      </c>
      <c r="B6" t="s">
        <v>332</v>
      </c>
    </row>
    <row r="7" spans="1:11" x14ac:dyDescent="0.25">
      <c r="A7" s="3">
        <v>4</v>
      </c>
      <c r="B7" t="s">
        <v>330</v>
      </c>
    </row>
    <row r="8" spans="1:11" x14ac:dyDescent="0.25">
      <c r="A8" s="3">
        <v>5</v>
      </c>
      <c r="B8" t="s">
        <v>331</v>
      </c>
    </row>
  </sheetData>
  <mergeCells count="1">
    <mergeCell ref="F2:K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5E09F-5D3A-4F62-92E9-4B5BF7D55AE3}">
  <dimension ref="A1:AA39"/>
  <sheetViews>
    <sheetView topLeftCell="H1" workbookViewId="0">
      <selection activeCell="P3" sqref="P3"/>
    </sheetView>
  </sheetViews>
  <sheetFormatPr defaultRowHeight="15" x14ac:dyDescent="0.25"/>
  <cols>
    <col min="1" max="1" width="26" bestFit="1" customWidth="1"/>
    <col min="2" max="2" width="12" customWidth="1"/>
    <col min="3" max="3" width="19.5703125" bestFit="1" customWidth="1"/>
    <col min="4" max="4" width="22.28515625" customWidth="1"/>
    <col min="5" max="5" width="30.7109375" customWidth="1"/>
    <col min="6" max="6" width="31.5703125" customWidth="1"/>
    <col min="7" max="7" width="16.140625" customWidth="1"/>
    <col min="8" max="8" width="17.140625" customWidth="1"/>
    <col min="9" max="9" width="29" bestFit="1" customWidth="1"/>
    <col min="10" max="10" width="30.7109375" bestFit="1" customWidth="1"/>
    <col min="11" max="11" width="12.7109375" bestFit="1" customWidth="1"/>
    <col min="12" max="12" width="13.140625" customWidth="1"/>
    <col min="13" max="13" width="15.5703125" customWidth="1"/>
    <col min="15" max="15" width="20.140625" customWidth="1"/>
    <col min="16" max="16" width="25.7109375" customWidth="1"/>
    <col min="17" max="17" width="12" customWidth="1"/>
    <col min="18" max="18" width="12.28515625" customWidth="1"/>
    <col min="19" max="19" width="15" customWidth="1"/>
    <col min="20" max="20" width="14.5703125" customWidth="1"/>
    <col min="23" max="23" width="9.7109375" customWidth="1"/>
    <col min="25" max="25" width="15.5703125" customWidth="1"/>
    <col min="26" max="26" width="16.5703125" customWidth="1"/>
    <col min="27" max="27" width="15.85546875" customWidth="1"/>
  </cols>
  <sheetData>
    <row r="1" spans="1:27" x14ac:dyDescent="0.25">
      <c r="A1" t="s">
        <v>276</v>
      </c>
      <c r="B1" t="s">
        <v>277</v>
      </c>
      <c r="C1" t="s">
        <v>278</v>
      </c>
      <c r="D1" t="s">
        <v>279</v>
      </c>
      <c r="E1" t="s">
        <v>280</v>
      </c>
      <c r="F1" t="s">
        <v>281</v>
      </c>
      <c r="G1" t="s">
        <v>282</v>
      </c>
      <c r="H1" t="s">
        <v>283</v>
      </c>
      <c r="I1" t="s">
        <v>284</v>
      </c>
      <c r="J1" t="s">
        <v>7</v>
      </c>
      <c r="K1" t="s">
        <v>285</v>
      </c>
      <c r="L1" t="s">
        <v>286</v>
      </c>
      <c r="M1" t="s">
        <v>287</v>
      </c>
      <c r="N1" t="s">
        <v>288</v>
      </c>
      <c r="O1" t="s">
        <v>289</v>
      </c>
      <c r="P1" t="s">
        <v>290</v>
      </c>
      <c r="Q1" t="s">
        <v>291</v>
      </c>
      <c r="R1" t="s">
        <v>292</v>
      </c>
      <c r="S1" t="s">
        <v>293</v>
      </c>
      <c r="T1" t="s">
        <v>294</v>
      </c>
      <c r="U1" t="s">
        <v>295</v>
      </c>
      <c r="V1" t="s">
        <v>296</v>
      </c>
      <c r="W1" t="s">
        <v>297</v>
      </c>
      <c r="X1" t="s">
        <v>298</v>
      </c>
      <c r="Y1" t="s">
        <v>299</v>
      </c>
      <c r="Z1" t="s">
        <v>300</v>
      </c>
      <c r="AA1" t="s">
        <v>301</v>
      </c>
    </row>
    <row r="2" spans="1:27" x14ac:dyDescent="0.25">
      <c r="A2" t="s">
        <v>20</v>
      </c>
      <c r="B2" s="1">
        <v>41665</v>
      </c>
      <c r="C2" t="s">
        <v>21</v>
      </c>
      <c r="D2">
        <v>500</v>
      </c>
      <c r="G2" t="s">
        <v>22</v>
      </c>
      <c r="H2" t="s">
        <v>23</v>
      </c>
      <c r="I2" t="s">
        <v>24</v>
      </c>
      <c r="J2" t="s">
        <v>25</v>
      </c>
      <c r="K2" t="s">
        <v>302</v>
      </c>
      <c r="L2" t="s">
        <v>26</v>
      </c>
      <c r="M2">
        <v>2010</v>
      </c>
      <c r="N2" t="s">
        <v>27</v>
      </c>
      <c r="O2">
        <v>400</v>
      </c>
      <c r="Q2" t="b">
        <v>0</v>
      </c>
      <c r="R2" t="s">
        <v>28</v>
      </c>
      <c r="S2" t="s">
        <v>29</v>
      </c>
      <c r="T2" t="b">
        <v>1</v>
      </c>
      <c r="U2" t="s">
        <v>30</v>
      </c>
      <c r="V2">
        <v>2014</v>
      </c>
      <c r="W2">
        <v>1</v>
      </c>
      <c r="X2">
        <v>1</v>
      </c>
      <c r="Y2" t="s">
        <v>31</v>
      </c>
      <c r="Z2" t="b">
        <v>0</v>
      </c>
      <c r="AA2">
        <v>0</v>
      </c>
    </row>
    <row r="3" spans="1:27" x14ac:dyDescent="0.25">
      <c r="A3" t="s">
        <v>32</v>
      </c>
      <c r="B3" s="1">
        <v>43668</v>
      </c>
      <c r="C3" t="s">
        <v>33</v>
      </c>
      <c r="D3">
        <v>1000</v>
      </c>
      <c r="G3" t="s">
        <v>34</v>
      </c>
      <c r="H3" t="s">
        <v>35</v>
      </c>
      <c r="I3" t="s">
        <v>36</v>
      </c>
      <c r="J3" t="s">
        <v>37</v>
      </c>
      <c r="K3" t="s">
        <v>303</v>
      </c>
      <c r="L3" t="s">
        <v>38</v>
      </c>
      <c r="M3">
        <v>2015</v>
      </c>
      <c r="N3" t="s">
        <v>39</v>
      </c>
      <c r="O3">
        <v>120</v>
      </c>
      <c r="Q3" t="b">
        <v>0</v>
      </c>
      <c r="R3" t="s">
        <v>40</v>
      </c>
      <c r="S3" t="s">
        <v>41</v>
      </c>
      <c r="T3" t="b">
        <v>1</v>
      </c>
      <c r="U3" t="s">
        <v>42</v>
      </c>
      <c r="V3">
        <v>2019</v>
      </c>
      <c r="W3">
        <v>3</v>
      </c>
      <c r="X3">
        <v>7</v>
      </c>
      <c r="Y3" t="s">
        <v>43</v>
      </c>
      <c r="Z3" t="b">
        <v>1</v>
      </c>
      <c r="AA3">
        <v>8</v>
      </c>
    </row>
    <row r="4" spans="1:27" x14ac:dyDescent="0.25">
      <c r="A4" t="s">
        <v>44</v>
      </c>
      <c r="B4" s="1">
        <v>44104</v>
      </c>
      <c r="C4" t="s">
        <v>45</v>
      </c>
      <c r="D4">
        <v>0</v>
      </c>
      <c r="F4">
        <v>15800</v>
      </c>
      <c r="G4" t="s">
        <v>46</v>
      </c>
      <c r="H4" t="s">
        <v>23</v>
      </c>
      <c r="I4" t="s">
        <v>47</v>
      </c>
      <c r="J4" t="s">
        <v>48</v>
      </c>
      <c r="K4" t="s">
        <v>304</v>
      </c>
      <c r="L4" t="s">
        <v>38</v>
      </c>
      <c r="M4">
        <v>2003</v>
      </c>
      <c r="N4" t="s">
        <v>49</v>
      </c>
      <c r="O4">
        <v>2400</v>
      </c>
      <c r="P4">
        <v>1093</v>
      </c>
      <c r="Q4" t="b">
        <v>1</v>
      </c>
      <c r="R4" t="s">
        <v>50</v>
      </c>
      <c r="S4" t="s">
        <v>51</v>
      </c>
      <c r="T4" t="b">
        <v>0</v>
      </c>
      <c r="U4" t="s">
        <v>52</v>
      </c>
      <c r="V4">
        <v>2020</v>
      </c>
      <c r="W4">
        <v>3</v>
      </c>
      <c r="X4">
        <v>9</v>
      </c>
      <c r="Y4" t="s">
        <v>53</v>
      </c>
      <c r="Z4" t="b">
        <v>1</v>
      </c>
      <c r="AA4">
        <v>10</v>
      </c>
    </row>
    <row r="5" spans="1:27" x14ac:dyDescent="0.25">
      <c r="A5" t="s">
        <v>54</v>
      </c>
      <c r="B5" s="1">
        <v>44307</v>
      </c>
      <c r="C5" t="s">
        <v>55</v>
      </c>
      <c r="D5">
        <v>1340</v>
      </c>
      <c r="F5">
        <v>35800</v>
      </c>
      <c r="G5" t="s">
        <v>46</v>
      </c>
      <c r="H5" t="s">
        <v>56</v>
      </c>
      <c r="I5" t="s">
        <v>47</v>
      </c>
      <c r="J5" t="s">
        <v>57</v>
      </c>
      <c r="K5" t="s">
        <v>305</v>
      </c>
      <c r="L5" t="s">
        <v>38</v>
      </c>
      <c r="M5">
        <v>2005</v>
      </c>
      <c r="N5" t="s">
        <v>58</v>
      </c>
      <c r="O5">
        <v>4000</v>
      </c>
      <c r="P5">
        <v>892</v>
      </c>
      <c r="Q5" t="b">
        <v>0</v>
      </c>
      <c r="R5" t="s">
        <v>59</v>
      </c>
      <c r="S5" t="s">
        <v>60</v>
      </c>
      <c r="T5" t="b">
        <v>0</v>
      </c>
      <c r="U5" t="s">
        <v>61</v>
      </c>
      <c r="V5">
        <v>2021</v>
      </c>
      <c r="W5">
        <v>2</v>
      </c>
      <c r="X5">
        <v>4</v>
      </c>
      <c r="Y5" t="s">
        <v>43</v>
      </c>
      <c r="Z5" t="b">
        <v>1</v>
      </c>
      <c r="AA5">
        <v>10</v>
      </c>
    </row>
    <row r="6" spans="1:27" x14ac:dyDescent="0.25">
      <c r="A6" t="s">
        <v>62</v>
      </c>
      <c r="B6" s="1">
        <v>44550</v>
      </c>
      <c r="C6" t="s">
        <v>55</v>
      </c>
      <c r="D6">
        <v>740</v>
      </c>
      <c r="F6">
        <v>16800</v>
      </c>
      <c r="G6" t="s">
        <v>63</v>
      </c>
      <c r="H6" t="s">
        <v>64</v>
      </c>
      <c r="I6" t="s">
        <v>47</v>
      </c>
      <c r="J6" t="s">
        <v>65</v>
      </c>
      <c r="K6" t="s">
        <v>306</v>
      </c>
      <c r="L6" t="s">
        <v>66</v>
      </c>
      <c r="M6">
        <v>2014</v>
      </c>
      <c r="N6" t="s">
        <v>67</v>
      </c>
      <c r="O6">
        <v>6000</v>
      </c>
      <c r="P6">
        <v>700</v>
      </c>
      <c r="Q6" t="b">
        <v>0</v>
      </c>
      <c r="R6" t="s">
        <v>68</v>
      </c>
      <c r="S6" t="s">
        <v>69</v>
      </c>
      <c r="T6" t="b">
        <v>0</v>
      </c>
      <c r="U6" t="s">
        <v>70</v>
      </c>
      <c r="V6">
        <v>2021</v>
      </c>
      <c r="W6">
        <v>4</v>
      </c>
      <c r="X6">
        <v>12</v>
      </c>
      <c r="Y6" t="s">
        <v>31</v>
      </c>
      <c r="Z6" t="b">
        <v>0</v>
      </c>
      <c r="AA6">
        <v>10</v>
      </c>
    </row>
    <row r="7" spans="1:27" x14ac:dyDescent="0.25">
      <c r="A7" t="s">
        <v>32</v>
      </c>
      <c r="B7" s="1">
        <v>44652</v>
      </c>
      <c r="C7" t="s">
        <v>71</v>
      </c>
      <c r="D7">
        <v>300</v>
      </c>
      <c r="E7">
        <v>19700</v>
      </c>
      <c r="F7">
        <v>20000</v>
      </c>
      <c r="G7" t="s">
        <v>72</v>
      </c>
      <c r="H7" t="s">
        <v>73</v>
      </c>
      <c r="I7" t="s">
        <v>36</v>
      </c>
      <c r="J7" t="s">
        <v>37</v>
      </c>
      <c r="K7" t="s">
        <v>303</v>
      </c>
      <c r="L7" t="s">
        <v>38</v>
      </c>
      <c r="M7">
        <v>2015</v>
      </c>
      <c r="N7" t="s">
        <v>39</v>
      </c>
      <c r="O7">
        <v>375</v>
      </c>
      <c r="P7">
        <v>36</v>
      </c>
      <c r="Q7" t="b">
        <v>0</v>
      </c>
      <c r="R7" t="s">
        <v>40</v>
      </c>
      <c r="S7" t="s">
        <v>74</v>
      </c>
      <c r="T7" t="b">
        <v>0</v>
      </c>
      <c r="U7" t="s">
        <v>75</v>
      </c>
      <c r="V7">
        <v>2022</v>
      </c>
      <c r="W7">
        <v>2</v>
      </c>
      <c r="X7">
        <v>4</v>
      </c>
      <c r="Y7" t="s">
        <v>76</v>
      </c>
      <c r="Z7" t="b">
        <v>1</v>
      </c>
      <c r="AA7">
        <v>5</v>
      </c>
    </row>
    <row r="8" spans="1:27" x14ac:dyDescent="0.25">
      <c r="A8" t="s">
        <v>77</v>
      </c>
      <c r="B8" s="1">
        <v>44677</v>
      </c>
      <c r="C8" t="s">
        <v>78</v>
      </c>
      <c r="D8">
        <v>65</v>
      </c>
      <c r="E8">
        <v>935</v>
      </c>
      <c r="F8">
        <v>1000</v>
      </c>
      <c r="G8" t="s">
        <v>79</v>
      </c>
      <c r="H8" t="s">
        <v>80</v>
      </c>
      <c r="I8" t="s">
        <v>47</v>
      </c>
      <c r="J8" t="s">
        <v>81</v>
      </c>
      <c r="K8" t="s">
        <v>303</v>
      </c>
      <c r="L8" t="s">
        <v>38</v>
      </c>
      <c r="M8">
        <v>2022</v>
      </c>
      <c r="N8" t="s">
        <v>82</v>
      </c>
      <c r="O8">
        <v>40</v>
      </c>
      <c r="Q8" t="b">
        <v>0</v>
      </c>
      <c r="R8" t="s">
        <v>83</v>
      </c>
      <c r="S8" t="s">
        <v>84</v>
      </c>
      <c r="T8" t="b">
        <v>0</v>
      </c>
      <c r="U8" t="s">
        <v>85</v>
      </c>
      <c r="V8">
        <v>2022</v>
      </c>
      <c r="W8">
        <v>2</v>
      </c>
      <c r="X8">
        <v>4</v>
      </c>
      <c r="Y8" t="s">
        <v>53</v>
      </c>
      <c r="Z8" t="b">
        <v>1</v>
      </c>
      <c r="AA8">
        <v>2</v>
      </c>
    </row>
    <row r="9" spans="1:27" x14ac:dyDescent="0.25">
      <c r="A9" t="s">
        <v>86</v>
      </c>
      <c r="B9" s="1">
        <v>44851</v>
      </c>
      <c r="C9" t="s">
        <v>87</v>
      </c>
      <c r="D9">
        <v>101</v>
      </c>
      <c r="E9">
        <v>900</v>
      </c>
      <c r="F9">
        <v>1000</v>
      </c>
      <c r="G9" t="s">
        <v>88</v>
      </c>
      <c r="H9" t="s">
        <v>89</v>
      </c>
      <c r="I9" t="s">
        <v>90</v>
      </c>
      <c r="J9" t="s">
        <v>91</v>
      </c>
      <c r="K9" t="s">
        <v>302</v>
      </c>
      <c r="L9" t="s">
        <v>26</v>
      </c>
      <c r="M9">
        <v>2019</v>
      </c>
      <c r="N9" t="s">
        <v>92</v>
      </c>
      <c r="O9">
        <v>150</v>
      </c>
      <c r="P9">
        <v>11</v>
      </c>
      <c r="Q9" t="b">
        <v>0</v>
      </c>
      <c r="R9" t="s">
        <v>93</v>
      </c>
      <c r="S9" t="s">
        <v>94</v>
      </c>
      <c r="T9" t="b">
        <v>1</v>
      </c>
      <c r="U9" t="s">
        <v>95</v>
      </c>
      <c r="V9">
        <v>2022</v>
      </c>
      <c r="W9">
        <v>4</v>
      </c>
      <c r="X9">
        <v>10</v>
      </c>
      <c r="Y9" t="s">
        <v>76</v>
      </c>
      <c r="Z9" t="b">
        <v>0</v>
      </c>
      <c r="AA9">
        <v>1</v>
      </c>
    </row>
    <row r="10" spans="1:27" x14ac:dyDescent="0.25">
      <c r="A10" t="s">
        <v>32</v>
      </c>
      <c r="B10" s="1">
        <v>44949</v>
      </c>
      <c r="C10" t="s">
        <v>33</v>
      </c>
      <c r="D10">
        <v>10000</v>
      </c>
      <c r="E10">
        <v>19000</v>
      </c>
      <c r="F10">
        <v>29000</v>
      </c>
      <c r="G10" t="s">
        <v>34</v>
      </c>
      <c r="H10" t="s">
        <v>35</v>
      </c>
      <c r="I10" t="s">
        <v>36</v>
      </c>
      <c r="J10" t="s">
        <v>37</v>
      </c>
      <c r="K10" t="s">
        <v>303</v>
      </c>
      <c r="L10" t="s">
        <v>38</v>
      </c>
      <c r="M10">
        <v>2015</v>
      </c>
      <c r="N10" t="s">
        <v>39</v>
      </c>
      <c r="O10">
        <v>770</v>
      </c>
      <c r="P10">
        <v>1600</v>
      </c>
      <c r="Q10" t="b">
        <v>0</v>
      </c>
      <c r="R10" t="s">
        <v>40</v>
      </c>
      <c r="S10" t="s">
        <v>96</v>
      </c>
      <c r="T10" t="b">
        <v>0</v>
      </c>
      <c r="U10" t="s">
        <v>97</v>
      </c>
      <c r="V10">
        <v>2023</v>
      </c>
      <c r="W10">
        <v>1</v>
      </c>
      <c r="X10">
        <v>1</v>
      </c>
      <c r="Y10" t="s">
        <v>98</v>
      </c>
      <c r="Z10" t="b">
        <v>1</v>
      </c>
      <c r="AA10">
        <v>8</v>
      </c>
    </row>
    <row r="11" spans="1:27" x14ac:dyDescent="0.25">
      <c r="A11" t="s">
        <v>99</v>
      </c>
      <c r="B11" s="1">
        <v>45085</v>
      </c>
      <c r="C11" t="s">
        <v>100</v>
      </c>
      <c r="D11">
        <v>270</v>
      </c>
      <c r="E11">
        <v>1930</v>
      </c>
      <c r="F11">
        <v>2200</v>
      </c>
      <c r="G11" t="s">
        <v>101</v>
      </c>
      <c r="H11" t="s">
        <v>102</v>
      </c>
      <c r="I11" t="s">
        <v>36</v>
      </c>
      <c r="J11" t="s">
        <v>103</v>
      </c>
      <c r="K11" t="s">
        <v>307</v>
      </c>
      <c r="L11" t="s">
        <v>104</v>
      </c>
      <c r="M11">
        <v>2019</v>
      </c>
      <c r="N11" t="s">
        <v>105</v>
      </c>
      <c r="O11">
        <v>450</v>
      </c>
      <c r="P11">
        <v>35</v>
      </c>
      <c r="Q11" t="b">
        <v>0</v>
      </c>
      <c r="R11" t="s">
        <v>40</v>
      </c>
      <c r="S11" t="s">
        <v>106</v>
      </c>
      <c r="T11" t="b">
        <v>1</v>
      </c>
      <c r="U11" t="s">
        <v>107</v>
      </c>
      <c r="V11">
        <v>2023</v>
      </c>
      <c r="W11">
        <v>2</v>
      </c>
      <c r="X11">
        <v>6</v>
      </c>
      <c r="Y11" t="s">
        <v>76</v>
      </c>
      <c r="Z11" t="b">
        <v>0</v>
      </c>
      <c r="AA11">
        <v>4</v>
      </c>
    </row>
    <row r="12" spans="1:27" x14ac:dyDescent="0.25">
      <c r="A12" t="s">
        <v>108</v>
      </c>
      <c r="B12" s="1">
        <v>45106</v>
      </c>
      <c r="C12" t="s">
        <v>109</v>
      </c>
      <c r="D12">
        <v>1300</v>
      </c>
      <c r="E12">
        <v>2700</v>
      </c>
      <c r="F12">
        <v>4000</v>
      </c>
      <c r="G12" t="s">
        <v>110</v>
      </c>
      <c r="H12" t="s">
        <v>111</v>
      </c>
      <c r="I12" t="s">
        <v>36</v>
      </c>
      <c r="J12" t="s">
        <v>112</v>
      </c>
      <c r="K12" t="s">
        <v>308</v>
      </c>
      <c r="L12" t="s">
        <v>38</v>
      </c>
      <c r="M12">
        <v>2022</v>
      </c>
      <c r="N12" t="s">
        <v>113</v>
      </c>
      <c r="O12">
        <v>200</v>
      </c>
      <c r="Q12" t="b">
        <v>0</v>
      </c>
      <c r="R12" t="s">
        <v>114</v>
      </c>
      <c r="S12" t="s">
        <v>115</v>
      </c>
      <c r="T12" t="b">
        <v>0</v>
      </c>
      <c r="U12" t="s">
        <v>116</v>
      </c>
      <c r="V12">
        <v>2023</v>
      </c>
      <c r="W12">
        <v>2</v>
      </c>
      <c r="X12">
        <v>6</v>
      </c>
      <c r="Y12" t="s">
        <v>43</v>
      </c>
      <c r="Z12" t="b">
        <v>1</v>
      </c>
      <c r="AA12">
        <v>3</v>
      </c>
    </row>
    <row r="13" spans="1:27" x14ac:dyDescent="0.25">
      <c r="A13" t="s">
        <v>117</v>
      </c>
      <c r="B13" s="1">
        <v>45162</v>
      </c>
      <c r="C13" t="s">
        <v>71</v>
      </c>
      <c r="D13">
        <v>235</v>
      </c>
      <c r="E13">
        <v>4265</v>
      </c>
      <c r="F13">
        <v>4500</v>
      </c>
      <c r="G13" t="s">
        <v>118</v>
      </c>
      <c r="H13" t="s">
        <v>119</v>
      </c>
      <c r="I13" t="s">
        <v>120</v>
      </c>
      <c r="J13" t="s">
        <v>121</v>
      </c>
      <c r="K13" t="s">
        <v>305</v>
      </c>
      <c r="L13" t="s">
        <v>38</v>
      </c>
      <c r="M13">
        <v>2016</v>
      </c>
      <c r="N13" t="s">
        <v>122</v>
      </c>
      <c r="O13">
        <v>250</v>
      </c>
      <c r="P13">
        <v>70</v>
      </c>
      <c r="Q13" t="b">
        <v>0</v>
      </c>
      <c r="R13" t="s">
        <v>40</v>
      </c>
      <c r="S13" t="s">
        <v>123</v>
      </c>
      <c r="T13" t="b">
        <v>1</v>
      </c>
      <c r="U13" t="s">
        <v>124</v>
      </c>
      <c r="V13">
        <v>2023</v>
      </c>
      <c r="W13">
        <v>3</v>
      </c>
      <c r="X13">
        <v>8</v>
      </c>
      <c r="Y13" t="s">
        <v>76</v>
      </c>
      <c r="Z13" t="b">
        <v>1</v>
      </c>
      <c r="AA13">
        <v>5</v>
      </c>
    </row>
    <row r="14" spans="1:27" x14ac:dyDescent="0.25">
      <c r="A14" t="s">
        <v>125</v>
      </c>
      <c r="B14" s="1">
        <v>45194</v>
      </c>
      <c r="C14" t="s">
        <v>33</v>
      </c>
      <c r="D14">
        <v>4000</v>
      </c>
      <c r="G14" t="s">
        <v>126</v>
      </c>
      <c r="H14" t="s">
        <v>35</v>
      </c>
      <c r="I14" t="s">
        <v>36</v>
      </c>
      <c r="J14" t="s">
        <v>127</v>
      </c>
      <c r="K14" t="s">
        <v>303</v>
      </c>
      <c r="L14" t="s">
        <v>38</v>
      </c>
      <c r="M14">
        <v>2021</v>
      </c>
      <c r="N14" t="s">
        <v>128</v>
      </c>
      <c r="O14">
        <v>500</v>
      </c>
      <c r="P14">
        <v>200</v>
      </c>
      <c r="Q14" t="b">
        <v>0</v>
      </c>
      <c r="R14" t="s">
        <v>40</v>
      </c>
      <c r="S14" t="s">
        <v>129</v>
      </c>
      <c r="T14" t="b">
        <v>0</v>
      </c>
      <c r="U14" t="s">
        <v>130</v>
      </c>
      <c r="V14">
        <v>2023</v>
      </c>
      <c r="W14">
        <v>3</v>
      </c>
      <c r="X14">
        <v>9</v>
      </c>
      <c r="Y14" t="s">
        <v>43</v>
      </c>
      <c r="Z14" t="b">
        <v>1</v>
      </c>
      <c r="AA14">
        <v>8</v>
      </c>
    </row>
    <row r="15" spans="1:27" x14ac:dyDescent="0.25">
      <c r="A15" t="s">
        <v>131</v>
      </c>
      <c r="B15" s="1">
        <v>45351</v>
      </c>
      <c r="C15" t="s">
        <v>109</v>
      </c>
      <c r="D15">
        <v>675</v>
      </c>
      <c r="E15">
        <v>2000</v>
      </c>
      <c r="F15">
        <v>2600</v>
      </c>
      <c r="G15" t="s">
        <v>132</v>
      </c>
      <c r="H15" t="s">
        <v>133</v>
      </c>
      <c r="I15" t="s">
        <v>47</v>
      </c>
      <c r="J15" t="s">
        <v>134</v>
      </c>
      <c r="K15" t="s">
        <v>309</v>
      </c>
      <c r="L15" t="s">
        <v>38</v>
      </c>
      <c r="M15">
        <v>2022</v>
      </c>
      <c r="N15" t="s">
        <v>135</v>
      </c>
      <c r="O15">
        <v>700</v>
      </c>
      <c r="Q15" t="b">
        <v>0</v>
      </c>
      <c r="R15" t="s">
        <v>40</v>
      </c>
      <c r="S15" t="s">
        <v>136</v>
      </c>
      <c r="T15" t="b">
        <v>0</v>
      </c>
      <c r="U15" t="s">
        <v>95</v>
      </c>
      <c r="V15">
        <v>2024</v>
      </c>
      <c r="W15">
        <v>1</v>
      </c>
      <c r="X15">
        <v>2</v>
      </c>
      <c r="Y15" t="s">
        <v>31</v>
      </c>
      <c r="Z15" t="b">
        <v>1</v>
      </c>
      <c r="AA15">
        <v>3</v>
      </c>
    </row>
    <row r="16" spans="1:27" x14ac:dyDescent="0.25">
      <c r="A16" t="s">
        <v>125</v>
      </c>
      <c r="B16" s="1">
        <v>45352</v>
      </c>
      <c r="C16" t="s">
        <v>71</v>
      </c>
      <c r="D16">
        <v>2750</v>
      </c>
      <c r="E16">
        <v>15250</v>
      </c>
      <c r="F16">
        <v>18400</v>
      </c>
      <c r="G16" t="s">
        <v>137</v>
      </c>
      <c r="H16" t="s">
        <v>138</v>
      </c>
      <c r="I16" t="s">
        <v>36</v>
      </c>
      <c r="J16" t="s">
        <v>127</v>
      </c>
      <c r="K16" t="s">
        <v>303</v>
      </c>
      <c r="L16" t="s">
        <v>38</v>
      </c>
      <c r="M16">
        <v>2021</v>
      </c>
      <c r="N16" t="s">
        <v>128</v>
      </c>
      <c r="O16">
        <v>1000</v>
      </c>
      <c r="P16">
        <v>850</v>
      </c>
      <c r="Q16" t="b">
        <v>0</v>
      </c>
      <c r="R16" t="s">
        <v>40</v>
      </c>
      <c r="S16" t="s">
        <v>139</v>
      </c>
      <c r="T16" t="b">
        <v>0</v>
      </c>
      <c r="U16" t="s">
        <v>140</v>
      </c>
      <c r="V16">
        <v>2024</v>
      </c>
      <c r="W16">
        <v>1</v>
      </c>
      <c r="X16">
        <v>3</v>
      </c>
      <c r="Y16" t="s">
        <v>43</v>
      </c>
      <c r="Z16" t="b">
        <v>1</v>
      </c>
      <c r="AA16">
        <v>5</v>
      </c>
    </row>
    <row r="17" spans="1:27" x14ac:dyDescent="0.25">
      <c r="A17" t="s">
        <v>141</v>
      </c>
      <c r="B17" s="1">
        <v>45419</v>
      </c>
      <c r="C17" t="s">
        <v>100</v>
      </c>
      <c r="D17">
        <v>1050</v>
      </c>
      <c r="G17" t="s">
        <v>142</v>
      </c>
      <c r="H17" t="s">
        <v>143</v>
      </c>
      <c r="I17" t="s">
        <v>47</v>
      </c>
      <c r="J17" t="s">
        <v>144</v>
      </c>
      <c r="K17" t="s">
        <v>302</v>
      </c>
      <c r="L17" t="s">
        <v>26</v>
      </c>
      <c r="M17">
        <v>2017</v>
      </c>
      <c r="N17" t="s">
        <v>145</v>
      </c>
      <c r="O17">
        <v>350</v>
      </c>
      <c r="Q17" t="b">
        <v>0</v>
      </c>
      <c r="R17" t="s">
        <v>40</v>
      </c>
      <c r="S17" t="s">
        <v>146</v>
      </c>
      <c r="T17" t="b">
        <v>0</v>
      </c>
      <c r="U17" t="s">
        <v>147</v>
      </c>
      <c r="V17">
        <v>2024</v>
      </c>
      <c r="W17">
        <v>2</v>
      </c>
      <c r="X17">
        <v>5</v>
      </c>
      <c r="Y17" t="s">
        <v>43</v>
      </c>
      <c r="Z17" t="b">
        <v>0</v>
      </c>
      <c r="AA17">
        <v>4</v>
      </c>
    </row>
    <row r="18" spans="1:27" x14ac:dyDescent="0.25">
      <c r="A18" t="s">
        <v>148</v>
      </c>
      <c r="B18" s="1">
        <v>45454</v>
      </c>
      <c r="C18" t="s">
        <v>109</v>
      </c>
      <c r="D18">
        <v>640</v>
      </c>
      <c r="E18">
        <v>5400</v>
      </c>
      <c r="F18">
        <v>6000</v>
      </c>
      <c r="G18" t="s">
        <v>149</v>
      </c>
      <c r="H18" t="s">
        <v>150</v>
      </c>
      <c r="I18" t="s">
        <v>36</v>
      </c>
      <c r="J18" t="s">
        <v>151</v>
      </c>
      <c r="K18" t="s">
        <v>310</v>
      </c>
      <c r="L18" t="s">
        <v>152</v>
      </c>
      <c r="M18">
        <v>2023</v>
      </c>
      <c r="N18" t="s">
        <v>153</v>
      </c>
      <c r="O18">
        <v>400</v>
      </c>
      <c r="P18">
        <v>80</v>
      </c>
      <c r="Q18" t="b">
        <v>0</v>
      </c>
      <c r="R18" t="s">
        <v>40</v>
      </c>
      <c r="S18" t="s">
        <v>154</v>
      </c>
      <c r="T18" t="b">
        <v>1</v>
      </c>
      <c r="U18" t="s">
        <v>155</v>
      </c>
      <c r="V18">
        <v>2024</v>
      </c>
      <c r="W18">
        <v>2</v>
      </c>
      <c r="X18">
        <v>6</v>
      </c>
      <c r="Y18" t="s">
        <v>31</v>
      </c>
      <c r="Z18" t="b">
        <v>0</v>
      </c>
      <c r="AA18">
        <v>3</v>
      </c>
    </row>
    <row r="19" spans="1:27" x14ac:dyDescent="0.25">
      <c r="A19" t="s">
        <v>156</v>
      </c>
      <c r="B19" s="1">
        <v>45554</v>
      </c>
      <c r="C19" t="s">
        <v>157</v>
      </c>
      <c r="D19">
        <v>10000</v>
      </c>
      <c r="E19">
        <v>52000</v>
      </c>
      <c r="F19">
        <v>62000</v>
      </c>
      <c r="G19" t="s">
        <v>158</v>
      </c>
      <c r="H19" t="s">
        <v>159</v>
      </c>
      <c r="I19" t="s">
        <v>120</v>
      </c>
      <c r="J19" t="s">
        <v>160</v>
      </c>
      <c r="K19" t="s">
        <v>303</v>
      </c>
      <c r="L19" t="s">
        <v>38</v>
      </c>
      <c r="M19">
        <v>2013</v>
      </c>
      <c r="N19" t="s">
        <v>161</v>
      </c>
      <c r="O19">
        <v>6000</v>
      </c>
      <c r="P19">
        <v>2400</v>
      </c>
      <c r="Q19" t="b">
        <v>0</v>
      </c>
      <c r="R19" t="s">
        <v>40</v>
      </c>
      <c r="S19" t="s">
        <v>162</v>
      </c>
      <c r="T19" t="b">
        <v>1</v>
      </c>
      <c r="U19" t="s">
        <v>163</v>
      </c>
      <c r="V19">
        <v>2024</v>
      </c>
      <c r="W19">
        <v>3</v>
      </c>
      <c r="X19">
        <v>9</v>
      </c>
      <c r="Y19" t="s">
        <v>98</v>
      </c>
      <c r="Z19" t="b">
        <v>1</v>
      </c>
      <c r="AA19">
        <v>9</v>
      </c>
    </row>
    <row r="20" spans="1:27" x14ac:dyDescent="0.25">
      <c r="A20" t="s">
        <v>32</v>
      </c>
      <c r="B20" s="1">
        <v>45567</v>
      </c>
      <c r="C20" t="s">
        <v>164</v>
      </c>
      <c r="D20">
        <v>6600</v>
      </c>
      <c r="E20">
        <v>150000</v>
      </c>
      <c r="F20">
        <v>157000</v>
      </c>
      <c r="G20" t="s">
        <v>158</v>
      </c>
      <c r="H20" t="s">
        <v>165</v>
      </c>
      <c r="I20" t="s">
        <v>36</v>
      </c>
      <c r="J20" t="s">
        <v>37</v>
      </c>
      <c r="K20" t="s">
        <v>303</v>
      </c>
      <c r="L20" t="s">
        <v>38</v>
      </c>
      <c r="M20">
        <v>2015</v>
      </c>
      <c r="N20" t="s">
        <v>39</v>
      </c>
      <c r="O20">
        <v>3000</v>
      </c>
      <c r="P20">
        <v>5400</v>
      </c>
      <c r="Q20" t="b">
        <v>0</v>
      </c>
      <c r="R20" t="s">
        <v>40</v>
      </c>
      <c r="S20" t="s">
        <v>166</v>
      </c>
      <c r="T20" t="b">
        <v>0</v>
      </c>
      <c r="U20" t="s">
        <v>167</v>
      </c>
      <c r="V20">
        <v>2024</v>
      </c>
      <c r="W20">
        <v>4</v>
      </c>
      <c r="X20">
        <v>10</v>
      </c>
      <c r="Y20" t="s">
        <v>43</v>
      </c>
      <c r="Z20" t="b">
        <v>1</v>
      </c>
      <c r="AA20">
        <v>6</v>
      </c>
    </row>
    <row r="21" spans="1:27" x14ac:dyDescent="0.25">
      <c r="A21" t="s">
        <v>168</v>
      </c>
      <c r="B21" s="1">
        <v>45617</v>
      </c>
      <c r="C21" t="s">
        <v>100</v>
      </c>
      <c r="D21">
        <v>650</v>
      </c>
      <c r="E21">
        <v>22350</v>
      </c>
      <c r="F21">
        <v>23000</v>
      </c>
      <c r="G21" t="s">
        <v>169</v>
      </c>
      <c r="H21" t="s">
        <v>170</v>
      </c>
      <c r="I21" t="s">
        <v>120</v>
      </c>
      <c r="J21" t="s">
        <v>171</v>
      </c>
      <c r="K21" t="s">
        <v>311</v>
      </c>
      <c r="L21" t="s">
        <v>38</v>
      </c>
      <c r="M21">
        <v>2017</v>
      </c>
      <c r="N21" t="s">
        <v>172</v>
      </c>
      <c r="O21">
        <v>1300</v>
      </c>
      <c r="P21">
        <v>1900</v>
      </c>
      <c r="Q21" t="b">
        <v>0</v>
      </c>
      <c r="R21" t="s">
        <v>173</v>
      </c>
      <c r="S21" t="s">
        <v>174</v>
      </c>
      <c r="T21" t="b">
        <v>0</v>
      </c>
      <c r="U21" t="s">
        <v>175</v>
      </c>
      <c r="V21">
        <v>2024</v>
      </c>
      <c r="W21">
        <v>4</v>
      </c>
      <c r="X21">
        <v>11</v>
      </c>
      <c r="Y21" t="s">
        <v>31</v>
      </c>
      <c r="Z21" t="b">
        <v>1</v>
      </c>
      <c r="AA21">
        <v>4</v>
      </c>
    </row>
    <row r="22" spans="1:27" x14ac:dyDescent="0.25">
      <c r="A22" t="s">
        <v>176</v>
      </c>
      <c r="B22" s="1">
        <v>45649</v>
      </c>
      <c r="C22" t="s">
        <v>100</v>
      </c>
      <c r="D22">
        <v>6000</v>
      </c>
      <c r="E22">
        <v>39000</v>
      </c>
      <c r="F22">
        <v>45000</v>
      </c>
      <c r="G22" t="s">
        <v>177</v>
      </c>
      <c r="H22" t="s">
        <v>178</v>
      </c>
      <c r="I22" t="s">
        <v>36</v>
      </c>
      <c r="J22" t="s">
        <v>37</v>
      </c>
      <c r="K22" t="s">
        <v>308</v>
      </c>
      <c r="L22" t="s">
        <v>38</v>
      </c>
      <c r="M22">
        <v>2023</v>
      </c>
      <c r="N22" t="s">
        <v>179</v>
      </c>
      <c r="O22">
        <v>400</v>
      </c>
      <c r="Q22" t="b">
        <v>0</v>
      </c>
      <c r="R22" t="s">
        <v>40</v>
      </c>
      <c r="S22" t="s">
        <v>180</v>
      </c>
      <c r="T22" t="b">
        <v>1</v>
      </c>
      <c r="U22" t="s">
        <v>181</v>
      </c>
      <c r="V22">
        <v>2024</v>
      </c>
      <c r="W22">
        <v>4</v>
      </c>
      <c r="X22">
        <v>12</v>
      </c>
      <c r="Y22" t="s">
        <v>43</v>
      </c>
      <c r="Z22" t="b">
        <v>1</v>
      </c>
      <c r="AA22">
        <v>4</v>
      </c>
    </row>
    <row r="23" spans="1:27" x14ac:dyDescent="0.25">
      <c r="A23" t="s">
        <v>148</v>
      </c>
      <c r="B23" s="1">
        <v>45684</v>
      </c>
      <c r="C23" t="s">
        <v>100</v>
      </c>
      <c r="D23">
        <v>2000</v>
      </c>
      <c r="E23">
        <v>13500</v>
      </c>
      <c r="F23">
        <v>15500</v>
      </c>
      <c r="G23" t="s">
        <v>182</v>
      </c>
      <c r="H23" t="s">
        <v>183</v>
      </c>
      <c r="I23" t="s">
        <v>36</v>
      </c>
      <c r="J23" t="s">
        <v>151</v>
      </c>
      <c r="K23" t="s">
        <v>310</v>
      </c>
      <c r="L23" t="s">
        <v>152</v>
      </c>
      <c r="M23">
        <v>2023</v>
      </c>
      <c r="N23" t="s">
        <v>153</v>
      </c>
      <c r="O23">
        <v>700</v>
      </c>
      <c r="P23">
        <v>300</v>
      </c>
      <c r="Q23" t="b">
        <v>0</v>
      </c>
      <c r="R23" t="s">
        <v>40</v>
      </c>
      <c r="S23" t="s">
        <v>184</v>
      </c>
      <c r="T23" t="b">
        <v>1</v>
      </c>
      <c r="U23" t="s">
        <v>155</v>
      </c>
      <c r="V23">
        <v>2025</v>
      </c>
      <c r="W23">
        <v>1</v>
      </c>
      <c r="X23">
        <v>1</v>
      </c>
      <c r="Y23" t="s">
        <v>43</v>
      </c>
      <c r="Z23" t="b">
        <v>0</v>
      </c>
      <c r="AA23">
        <v>4</v>
      </c>
    </row>
    <row r="24" spans="1:27" x14ac:dyDescent="0.25">
      <c r="A24" t="s">
        <v>185</v>
      </c>
      <c r="B24" s="1">
        <v>45707</v>
      </c>
      <c r="C24" t="s">
        <v>71</v>
      </c>
      <c r="D24">
        <v>480</v>
      </c>
      <c r="E24">
        <v>2000</v>
      </c>
      <c r="F24">
        <v>2500</v>
      </c>
      <c r="G24" t="s">
        <v>186</v>
      </c>
      <c r="H24" t="s">
        <v>187</v>
      </c>
      <c r="I24" t="s">
        <v>120</v>
      </c>
      <c r="J24" t="s">
        <v>171</v>
      </c>
      <c r="K24" t="s">
        <v>303</v>
      </c>
      <c r="L24" t="s">
        <v>38</v>
      </c>
      <c r="M24">
        <v>2012</v>
      </c>
      <c r="N24" t="s">
        <v>188</v>
      </c>
      <c r="O24">
        <v>400</v>
      </c>
      <c r="P24">
        <v>500</v>
      </c>
      <c r="Q24" t="b">
        <v>1</v>
      </c>
      <c r="R24" t="s">
        <v>40</v>
      </c>
      <c r="S24" t="s">
        <v>189</v>
      </c>
      <c r="T24" t="b">
        <v>0</v>
      </c>
      <c r="U24" t="s">
        <v>107</v>
      </c>
      <c r="V24">
        <v>2025</v>
      </c>
      <c r="W24">
        <v>1</v>
      </c>
      <c r="X24">
        <v>2</v>
      </c>
      <c r="Y24" t="s">
        <v>76</v>
      </c>
      <c r="Z24" t="b">
        <v>1</v>
      </c>
      <c r="AA24">
        <v>5</v>
      </c>
    </row>
    <row r="25" spans="1:27" x14ac:dyDescent="0.25">
      <c r="A25" t="s">
        <v>190</v>
      </c>
      <c r="B25" s="1">
        <v>45708</v>
      </c>
      <c r="C25" t="s">
        <v>109</v>
      </c>
      <c r="D25">
        <v>305</v>
      </c>
      <c r="E25">
        <v>3000</v>
      </c>
      <c r="F25">
        <v>3300</v>
      </c>
      <c r="G25" t="s">
        <v>191</v>
      </c>
      <c r="H25" t="s">
        <v>192</v>
      </c>
      <c r="I25" t="s">
        <v>120</v>
      </c>
      <c r="J25" t="s">
        <v>121</v>
      </c>
      <c r="K25" t="s">
        <v>303</v>
      </c>
      <c r="L25" t="s">
        <v>38</v>
      </c>
      <c r="M25">
        <v>2022</v>
      </c>
      <c r="N25" t="s">
        <v>193</v>
      </c>
      <c r="O25">
        <v>200</v>
      </c>
      <c r="P25">
        <v>100</v>
      </c>
      <c r="Q25" t="b">
        <v>0</v>
      </c>
      <c r="R25" t="s">
        <v>40</v>
      </c>
      <c r="S25" t="s">
        <v>194</v>
      </c>
      <c r="T25" t="b">
        <v>1</v>
      </c>
      <c r="U25" t="s">
        <v>107</v>
      </c>
      <c r="V25">
        <v>2025</v>
      </c>
      <c r="W25">
        <v>1</v>
      </c>
      <c r="X25">
        <v>2</v>
      </c>
      <c r="Y25" t="s">
        <v>76</v>
      </c>
      <c r="Z25" t="b">
        <v>1</v>
      </c>
      <c r="AA25">
        <v>3</v>
      </c>
    </row>
    <row r="26" spans="1:27" x14ac:dyDescent="0.25">
      <c r="A26" t="s">
        <v>125</v>
      </c>
      <c r="B26" s="1">
        <v>45719</v>
      </c>
      <c r="C26" t="s">
        <v>195</v>
      </c>
      <c r="D26">
        <v>3500</v>
      </c>
      <c r="E26">
        <v>58000</v>
      </c>
      <c r="F26">
        <v>61500</v>
      </c>
      <c r="G26" t="s">
        <v>196</v>
      </c>
      <c r="H26" t="s">
        <v>197</v>
      </c>
      <c r="I26" t="s">
        <v>36</v>
      </c>
      <c r="J26" t="s">
        <v>127</v>
      </c>
      <c r="K26" t="s">
        <v>303</v>
      </c>
      <c r="L26" t="s">
        <v>38</v>
      </c>
      <c r="M26">
        <v>2021</v>
      </c>
      <c r="N26" t="s">
        <v>128</v>
      </c>
      <c r="O26">
        <v>1400</v>
      </c>
      <c r="P26">
        <v>2800</v>
      </c>
      <c r="Q26" t="b">
        <v>0</v>
      </c>
      <c r="R26" t="s">
        <v>40</v>
      </c>
      <c r="S26" t="s">
        <v>198</v>
      </c>
      <c r="T26" t="b">
        <v>0</v>
      </c>
      <c r="U26" t="s">
        <v>107</v>
      </c>
      <c r="V26">
        <v>2025</v>
      </c>
      <c r="W26">
        <v>1</v>
      </c>
      <c r="X26">
        <v>3</v>
      </c>
      <c r="Y26" t="s">
        <v>43</v>
      </c>
      <c r="Z26" t="b">
        <v>1</v>
      </c>
      <c r="AA26">
        <v>6</v>
      </c>
    </row>
    <row r="27" spans="1:27" x14ac:dyDescent="0.25">
      <c r="A27" t="s">
        <v>199</v>
      </c>
      <c r="B27" s="1">
        <v>45748</v>
      </c>
      <c r="C27" t="s">
        <v>78</v>
      </c>
      <c r="D27">
        <v>2000</v>
      </c>
      <c r="E27">
        <v>30000</v>
      </c>
      <c r="F27">
        <v>32000</v>
      </c>
      <c r="G27" t="s">
        <v>200</v>
      </c>
      <c r="H27" t="s">
        <v>201</v>
      </c>
      <c r="I27" t="s">
        <v>36</v>
      </c>
      <c r="J27" t="s">
        <v>127</v>
      </c>
      <c r="K27" t="s">
        <v>308</v>
      </c>
      <c r="L27" t="s">
        <v>38</v>
      </c>
      <c r="M27">
        <v>2024</v>
      </c>
      <c r="N27" t="s">
        <v>202</v>
      </c>
      <c r="O27">
        <v>30</v>
      </c>
      <c r="Q27" t="b">
        <v>0</v>
      </c>
      <c r="R27" t="s">
        <v>40</v>
      </c>
      <c r="S27" t="s">
        <v>203</v>
      </c>
      <c r="T27" t="b">
        <v>0</v>
      </c>
      <c r="U27" t="s">
        <v>175</v>
      </c>
      <c r="V27">
        <v>2025</v>
      </c>
      <c r="W27">
        <v>2</v>
      </c>
      <c r="X27">
        <v>4</v>
      </c>
      <c r="Y27" t="s">
        <v>43</v>
      </c>
      <c r="Z27" t="b">
        <v>1</v>
      </c>
      <c r="AA27">
        <v>2</v>
      </c>
    </row>
    <row r="28" spans="1:27" x14ac:dyDescent="0.25">
      <c r="A28" t="s">
        <v>32</v>
      </c>
      <c r="B28" s="1">
        <v>45749</v>
      </c>
      <c r="C28" t="s">
        <v>204</v>
      </c>
      <c r="D28">
        <v>40000</v>
      </c>
      <c r="E28">
        <v>260000</v>
      </c>
      <c r="F28">
        <v>300000</v>
      </c>
      <c r="G28" t="s">
        <v>205</v>
      </c>
      <c r="H28" t="s">
        <v>206</v>
      </c>
      <c r="I28" t="s">
        <v>36</v>
      </c>
      <c r="J28" t="s">
        <v>37</v>
      </c>
      <c r="K28" t="s">
        <v>303</v>
      </c>
      <c r="L28" t="s">
        <v>38</v>
      </c>
      <c r="M28">
        <v>2015</v>
      </c>
      <c r="N28" t="s">
        <v>39</v>
      </c>
      <c r="O28">
        <v>3700</v>
      </c>
      <c r="P28">
        <v>11600</v>
      </c>
      <c r="Q28" t="b">
        <v>0</v>
      </c>
      <c r="R28" t="s">
        <v>207</v>
      </c>
      <c r="S28" t="s">
        <v>208</v>
      </c>
      <c r="T28" t="b">
        <v>0</v>
      </c>
      <c r="U28" t="s">
        <v>209</v>
      </c>
      <c r="V28">
        <v>2025</v>
      </c>
      <c r="W28">
        <v>2</v>
      </c>
      <c r="X28">
        <v>4</v>
      </c>
      <c r="Y28" t="s">
        <v>98</v>
      </c>
      <c r="Z28" t="b">
        <v>1</v>
      </c>
      <c r="AA28">
        <v>7</v>
      </c>
    </row>
    <row r="29" spans="1:27" x14ac:dyDescent="0.25">
      <c r="A29" t="s">
        <v>210</v>
      </c>
      <c r="B29" s="1">
        <v>45778</v>
      </c>
      <c r="C29" t="s">
        <v>164</v>
      </c>
      <c r="D29">
        <v>500</v>
      </c>
      <c r="E29">
        <v>17500</v>
      </c>
      <c r="F29">
        <v>18000</v>
      </c>
      <c r="G29" t="s">
        <v>211</v>
      </c>
      <c r="H29" t="s">
        <v>212</v>
      </c>
      <c r="I29" t="s">
        <v>47</v>
      </c>
      <c r="J29" t="s">
        <v>213</v>
      </c>
      <c r="K29" t="s">
        <v>303</v>
      </c>
      <c r="L29" t="s">
        <v>38</v>
      </c>
      <c r="M29">
        <v>2022</v>
      </c>
      <c r="N29" t="s">
        <v>214</v>
      </c>
      <c r="O29">
        <v>250</v>
      </c>
      <c r="P29">
        <v>150</v>
      </c>
      <c r="Q29" t="b">
        <v>0</v>
      </c>
      <c r="R29" t="s">
        <v>40</v>
      </c>
      <c r="S29" t="s">
        <v>215</v>
      </c>
      <c r="T29" t="b">
        <v>0</v>
      </c>
      <c r="U29" t="s">
        <v>216</v>
      </c>
      <c r="V29">
        <v>2025</v>
      </c>
      <c r="W29">
        <v>2</v>
      </c>
      <c r="X29">
        <v>5</v>
      </c>
      <c r="Y29" t="s">
        <v>31</v>
      </c>
      <c r="Z29" t="b">
        <v>1</v>
      </c>
      <c r="AA29">
        <v>6</v>
      </c>
    </row>
    <row r="30" spans="1:27" x14ac:dyDescent="0.25">
      <c r="A30" t="s">
        <v>217</v>
      </c>
      <c r="B30" s="1">
        <v>45809</v>
      </c>
      <c r="C30" t="s">
        <v>100</v>
      </c>
      <c r="D30">
        <v>243</v>
      </c>
      <c r="G30" t="s">
        <v>218</v>
      </c>
      <c r="H30" t="s">
        <v>219</v>
      </c>
      <c r="I30" t="s">
        <v>47</v>
      </c>
      <c r="J30" t="s">
        <v>220</v>
      </c>
      <c r="K30" t="s">
        <v>303</v>
      </c>
      <c r="L30" t="s">
        <v>38</v>
      </c>
      <c r="M30">
        <v>2020</v>
      </c>
      <c r="N30" t="s">
        <v>221</v>
      </c>
      <c r="O30">
        <v>300</v>
      </c>
      <c r="Q30" t="b">
        <v>0</v>
      </c>
      <c r="R30" t="s">
        <v>40</v>
      </c>
      <c r="S30" t="s">
        <v>222</v>
      </c>
      <c r="T30" t="b">
        <v>0</v>
      </c>
      <c r="U30" t="s">
        <v>107</v>
      </c>
      <c r="V30">
        <v>2025</v>
      </c>
      <c r="W30">
        <v>2</v>
      </c>
      <c r="X30">
        <v>6</v>
      </c>
      <c r="Y30" t="s">
        <v>76</v>
      </c>
      <c r="Z30" t="b">
        <v>1</v>
      </c>
      <c r="AA30">
        <v>4</v>
      </c>
    </row>
    <row r="31" spans="1:27" x14ac:dyDescent="0.25">
      <c r="A31" t="s">
        <v>223</v>
      </c>
      <c r="B31" s="1">
        <v>45823</v>
      </c>
      <c r="C31" t="s">
        <v>33</v>
      </c>
      <c r="D31">
        <v>14300</v>
      </c>
      <c r="E31">
        <v>14700</v>
      </c>
      <c r="F31">
        <v>29000</v>
      </c>
      <c r="G31" t="s">
        <v>224</v>
      </c>
      <c r="H31" t="s">
        <v>35</v>
      </c>
      <c r="I31" t="s">
        <v>120</v>
      </c>
      <c r="J31" t="s">
        <v>225</v>
      </c>
      <c r="K31" t="s">
        <v>303</v>
      </c>
      <c r="L31" t="s">
        <v>38</v>
      </c>
      <c r="M31">
        <v>2016</v>
      </c>
      <c r="N31" t="s">
        <v>226</v>
      </c>
      <c r="O31">
        <v>1200</v>
      </c>
      <c r="P31">
        <v>1400</v>
      </c>
      <c r="Q31" t="b">
        <v>0</v>
      </c>
      <c r="R31" t="s">
        <v>40</v>
      </c>
      <c r="S31" t="s">
        <v>227</v>
      </c>
      <c r="T31" t="b">
        <v>0</v>
      </c>
      <c r="U31" t="s">
        <v>95</v>
      </c>
      <c r="V31">
        <v>2025</v>
      </c>
      <c r="W31">
        <v>2</v>
      </c>
      <c r="X31">
        <v>6</v>
      </c>
      <c r="Y31" t="s">
        <v>98</v>
      </c>
      <c r="Z31" t="b">
        <v>1</v>
      </c>
      <c r="AA31">
        <v>8</v>
      </c>
    </row>
    <row r="32" spans="1:27" x14ac:dyDescent="0.25">
      <c r="A32" t="s">
        <v>176</v>
      </c>
      <c r="B32" s="1">
        <v>45853</v>
      </c>
      <c r="C32" t="s">
        <v>100</v>
      </c>
      <c r="D32">
        <v>10000</v>
      </c>
      <c r="E32">
        <v>190000</v>
      </c>
      <c r="F32">
        <v>200000</v>
      </c>
      <c r="G32" t="s">
        <v>228</v>
      </c>
      <c r="H32" t="s">
        <v>229</v>
      </c>
      <c r="I32" t="s">
        <v>36</v>
      </c>
      <c r="J32" t="s">
        <v>37</v>
      </c>
      <c r="K32" t="s">
        <v>308</v>
      </c>
      <c r="L32" t="s">
        <v>38</v>
      </c>
      <c r="M32">
        <v>2023</v>
      </c>
      <c r="N32" t="s">
        <v>179</v>
      </c>
      <c r="O32">
        <v>600</v>
      </c>
      <c r="Q32" t="b">
        <v>0</v>
      </c>
      <c r="R32" t="s">
        <v>40</v>
      </c>
      <c r="S32" t="s">
        <v>230</v>
      </c>
      <c r="T32" t="b">
        <v>1</v>
      </c>
      <c r="U32" t="s">
        <v>231</v>
      </c>
      <c r="V32">
        <v>2025</v>
      </c>
      <c r="W32">
        <v>3</v>
      </c>
      <c r="X32">
        <v>7</v>
      </c>
      <c r="Y32" t="s">
        <v>98</v>
      </c>
      <c r="Z32" t="b">
        <v>1</v>
      </c>
      <c r="AA32">
        <v>4</v>
      </c>
    </row>
    <row r="33" spans="1:27" x14ac:dyDescent="0.25">
      <c r="A33" t="s">
        <v>232</v>
      </c>
      <c r="B33" s="1">
        <v>45853</v>
      </c>
      <c r="C33" t="s">
        <v>87</v>
      </c>
      <c r="D33">
        <v>2000</v>
      </c>
      <c r="E33">
        <v>8000</v>
      </c>
      <c r="F33">
        <v>10000</v>
      </c>
      <c r="G33" t="s">
        <v>233</v>
      </c>
      <c r="H33" t="s">
        <v>234</v>
      </c>
      <c r="I33" t="s">
        <v>36</v>
      </c>
      <c r="J33" t="s">
        <v>235</v>
      </c>
      <c r="K33" t="s">
        <v>303</v>
      </c>
      <c r="L33" t="s">
        <v>38</v>
      </c>
      <c r="M33">
        <v>2024</v>
      </c>
      <c r="N33" t="s">
        <v>236</v>
      </c>
      <c r="O33">
        <v>30</v>
      </c>
      <c r="Q33" t="b">
        <v>0</v>
      </c>
      <c r="R33" t="s">
        <v>40</v>
      </c>
      <c r="S33" t="s">
        <v>237</v>
      </c>
      <c r="T33" t="b">
        <v>0</v>
      </c>
      <c r="U33" t="s">
        <v>238</v>
      </c>
      <c r="V33">
        <v>2025</v>
      </c>
      <c r="W33">
        <v>3</v>
      </c>
      <c r="X33">
        <v>7</v>
      </c>
      <c r="Y33" t="s">
        <v>43</v>
      </c>
      <c r="Z33" t="b">
        <v>1</v>
      </c>
      <c r="AA33">
        <v>1</v>
      </c>
    </row>
    <row r="34" spans="1:27" x14ac:dyDescent="0.25">
      <c r="A34" t="s">
        <v>239</v>
      </c>
      <c r="B34" s="1">
        <v>45870</v>
      </c>
      <c r="C34" t="s">
        <v>240</v>
      </c>
      <c r="D34">
        <v>3000</v>
      </c>
      <c r="G34" t="s">
        <v>241</v>
      </c>
      <c r="H34" t="s">
        <v>35</v>
      </c>
      <c r="I34" t="s">
        <v>47</v>
      </c>
      <c r="J34" t="s">
        <v>242</v>
      </c>
      <c r="K34" t="s">
        <v>312</v>
      </c>
      <c r="L34" t="s">
        <v>38</v>
      </c>
      <c r="M34">
        <v>2019</v>
      </c>
      <c r="N34" t="s">
        <v>243</v>
      </c>
      <c r="O34">
        <v>500</v>
      </c>
      <c r="Q34" t="b">
        <v>0</v>
      </c>
      <c r="R34" t="s">
        <v>40</v>
      </c>
      <c r="S34" t="s">
        <v>244</v>
      </c>
      <c r="T34" t="b">
        <v>0</v>
      </c>
      <c r="U34" t="s">
        <v>245</v>
      </c>
      <c r="V34">
        <v>2025</v>
      </c>
      <c r="W34">
        <v>3</v>
      </c>
      <c r="X34">
        <v>8</v>
      </c>
      <c r="Y34" t="s">
        <v>43</v>
      </c>
      <c r="Z34" t="b">
        <v>1</v>
      </c>
      <c r="AA34">
        <v>7</v>
      </c>
    </row>
    <row r="35" spans="1:27" x14ac:dyDescent="0.25">
      <c r="A35" t="s">
        <v>246</v>
      </c>
      <c r="B35" s="1">
        <v>45884</v>
      </c>
      <c r="C35" t="s">
        <v>204</v>
      </c>
      <c r="D35">
        <v>2500</v>
      </c>
      <c r="E35">
        <v>26500</v>
      </c>
      <c r="F35">
        <v>29000</v>
      </c>
      <c r="G35" t="s">
        <v>247</v>
      </c>
      <c r="H35" t="s">
        <v>248</v>
      </c>
      <c r="I35" t="s">
        <v>47</v>
      </c>
      <c r="J35" t="s">
        <v>249</v>
      </c>
      <c r="K35" t="s">
        <v>313</v>
      </c>
      <c r="L35" t="s">
        <v>38</v>
      </c>
      <c r="M35">
        <v>2017</v>
      </c>
      <c r="N35" t="s">
        <v>250</v>
      </c>
      <c r="O35">
        <v>4500</v>
      </c>
      <c r="P35">
        <v>1000</v>
      </c>
      <c r="Q35" t="b">
        <v>0</v>
      </c>
      <c r="R35" t="s">
        <v>40</v>
      </c>
      <c r="S35" t="s">
        <v>251</v>
      </c>
      <c r="T35" t="b">
        <v>0</v>
      </c>
      <c r="U35" t="s">
        <v>252</v>
      </c>
      <c r="V35">
        <v>2025</v>
      </c>
      <c r="W35">
        <v>3</v>
      </c>
      <c r="X35">
        <v>8</v>
      </c>
      <c r="Y35" t="s">
        <v>43</v>
      </c>
      <c r="Z35" t="b">
        <v>1</v>
      </c>
      <c r="AA35">
        <v>7</v>
      </c>
    </row>
    <row r="36" spans="1:27" x14ac:dyDescent="0.25">
      <c r="A36" t="s">
        <v>125</v>
      </c>
      <c r="B36" s="1">
        <v>45902</v>
      </c>
      <c r="C36" t="s">
        <v>204</v>
      </c>
      <c r="D36">
        <v>13000</v>
      </c>
      <c r="E36">
        <v>170000</v>
      </c>
      <c r="F36">
        <v>183000</v>
      </c>
      <c r="G36" t="s">
        <v>253</v>
      </c>
      <c r="H36" t="s">
        <v>254</v>
      </c>
      <c r="I36" t="s">
        <v>36</v>
      </c>
      <c r="J36" t="s">
        <v>127</v>
      </c>
      <c r="K36" t="s">
        <v>303</v>
      </c>
      <c r="L36" t="s">
        <v>38</v>
      </c>
      <c r="M36">
        <v>2021</v>
      </c>
      <c r="N36" t="s">
        <v>128</v>
      </c>
      <c r="O36">
        <v>1600</v>
      </c>
      <c r="P36">
        <v>4000</v>
      </c>
      <c r="Q36" t="b">
        <v>0</v>
      </c>
      <c r="R36" t="s">
        <v>40</v>
      </c>
      <c r="S36" t="s">
        <v>255</v>
      </c>
      <c r="T36" t="b">
        <v>0</v>
      </c>
      <c r="U36" t="s">
        <v>256</v>
      </c>
      <c r="V36">
        <v>2025</v>
      </c>
      <c r="W36">
        <v>3</v>
      </c>
      <c r="X36">
        <v>9</v>
      </c>
      <c r="Y36" t="s">
        <v>98</v>
      </c>
      <c r="Z36" t="b">
        <v>1</v>
      </c>
      <c r="AA36">
        <v>7</v>
      </c>
    </row>
    <row r="37" spans="1:27" x14ac:dyDescent="0.25">
      <c r="A37" t="s">
        <v>257</v>
      </c>
      <c r="B37" s="1">
        <v>45962</v>
      </c>
      <c r="C37" t="s">
        <v>258</v>
      </c>
      <c r="D37">
        <v>6200</v>
      </c>
      <c r="G37" t="s">
        <v>259</v>
      </c>
      <c r="H37" t="s">
        <v>260</v>
      </c>
      <c r="I37" t="s">
        <v>261</v>
      </c>
      <c r="J37" t="s">
        <v>262</v>
      </c>
      <c r="K37" t="s">
        <v>303</v>
      </c>
      <c r="L37" t="s">
        <v>38</v>
      </c>
      <c r="M37">
        <v>2025</v>
      </c>
      <c r="N37" t="s">
        <v>263</v>
      </c>
      <c r="O37">
        <v>50</v>
      </c>
      <c r="Q37" t="b">
        <v>0</v>
      </c>
      <c r="R37" t="s">
        <v>40</v>
      </c>
      <c r="S37" t="s">
        <v>264</v>
      </c>
      <c r="T37" t="b">
        <v>0</v>
      </c>
      <c r="U37" t="s">
        <v>245</v>
      </c>
      <c r="V37">
        <v>2025</v>
      </c>
      <c r="W37">
        <v>4</v>
      </c>
      <c r="X37">
        <v>11</v>
      </c>
      <c r="Y37" t="s">
        <v>43</v>
      </c>
      <c r="Z37" t="b">
        <v>1</v>
      </c>
      <c r="AA37">
        <v>1</v>
      </c>
    </row>
    <row r="38" spans="1:27" x14ac:dyDescent="0.25">
      <c r="A38" t="s">
        <v>265</v>
      </c>
      <c r="B38" s="1">
        <v>45974</v>
      </c>
      <c r="C38" t="s">
        <v>100</v>
      </c>
      <c r="D38">
        <v>2300</v>
      </c>
      <c r="E38">
        <v>27000</v>
      </c>
      <c r="F38">
        <v>29300</v>
      </c>
      <c r="G38" t="s">
        <v>266</v>
      </c>
      <c r="H38" t="s">
        <v>267</v>
      </c>
      <c r="I38" t="s">
        <v>47</v>
      </c>
      <c r="J38" t="s">
        <v>268</v>
      </c>
      <c r="K38" t="s">
        <v>303</v>
      </c>
      <c r="L38" t="s">
        <v>38</v>
      </c>
      <c r="M38">
        <v>2022</v>
      </c>
      <c r="N38" t="s">
        <v>269</v>
      </c>
      <c r="O38">
        <v>100</v>
      </c>
      <c r="P38">
        <v>500</v>
      </c>
      <c r="Q38" t="b">
        <v>1</v>
      </c>
      <c r="R38" t="s">
        <v>40</v>
      </c>
      <c r="S38" t="s">
        <v>270</v>
      </c>
      <c r="T38" t="b">
        <v>0</v>
      </c>
      <c r="U38" t="s">
        <v>271</v>
      </c>
      <c r="V38">
        <v>2025</v>
      </c>
      <c r="W38">
        <v>4</v>
      </c>
      <c r="X38">
        <v>11</v>
      </c>
      <c r="Y38" t="s">
        <v>43</v>
      </c>
      <c r="Z38" t="b">
        <v>1</v>
      </c>
      <c r="AA38">
        <v>4</v>
      </c>
    </row>
    <row r="39" spans="1:27" x14ac:dyDescent="0.25">
      <c r="A39" t="s">
        <v>156</v>
      </c>
      <c r="B39" s="1">
        <v>45992</v>
      </c>
      <c r="C39" t="s">
        <v>272</v>
      </c>
      <c r="D39">
        <v>5000</v>
      </c>
      <c r="E39">
        <v>129000</v>
      </c>
      <c r="F39">
        <v>134000</v>
      </c>
      <c r="G39" t="s">
        <v>158</v>
      </c>
      <c r="H39" t="s">
        <v>273</v>
      </c>
      <c r="I39" t="s">
        <v>120</v>
      </c>
      <c r="J39" t="s">
        <v>160</v>
      </c>
      <c r="K39" t="s">
        <v>303</v>
      </c>
      <c r="L39" t="s">
        <v>38</v>
      </c>
      <c r="M39">
        <v>2013</v>
      </c>
      <c r="N39" t="s">
        <v>161</v>
      </c>
      <c r="O39">
        <v>7000</v>
      </c>
      <c r="P39">
        <v>3500</v>
      </c>
      <c r="Q39" t="b">
        <v>0</v>
      </c>
      <c r="R39" t="s">
        <v>274</v>
      </c>
      <c r="S39" t="s">
        <v>275</v>
      </c>
      <c r="T39" t="b">
        <v>1</v>
      </c>
      <c r="U39" t="s">
        <v>95</v>
      </c>
      <c r="V39">
        <v>2025</v>
      </c>
      <c r="W39">
        <v>4</v>
      </c>
      <c r="X39">
        <v>12</v>
      </c>
      <c r="Y39" t="s">
        <v>43</v>
      </c>
      <c r="Z39" t="b">
        <v>1</v>
      </c>
      <c r="AA39">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C42579-1F80-450A-B0EF-0D1102F029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Table_per year funding</vt:lpstr>
      <vt:lpstr>Table_total funding received C.</vt:lpstr>
      <vt:lpstr>HeadQ</vt:lpstr>
      <vt:lpstr>Analysized_Table</vt:lpstr>
      <vt:lpstr>Chart</vt:lpstr>
      <vt:lpstr>Sheet1</vt:lpstr>
      <vt:lpstr>ai_startup_funding_database_201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 probook</dc:creator>
  <cp:keywords/>
  <dc:description/>
  <cp:lastModifiedBy>Emmanuel Nwodo</cp:lastModifiedBy>
  <cp:revision/>
  <dcterms:created xsi:type="dcterms:W3CDTF">2026-04-21T05:29:23Z</dcterms:created>
  <dcterms:modified xsi:type="dcterms:W3CDTF">2026-04-26T01:32:03Z</dcterms:modified>
  <cp:category/>
  <cp:contentStatus/>
</cp:coreProperties>
</file>